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6db9cf0f7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3d576e53ce0843af"/>
    <x:sheet xmlns:r="http://schemas.openxmlformats.org/officeDocument/2006/relationships" name="01 Prior Year P&amp;L" sheetId="2" r:id="R25e23c79450e4660"/>
    <x:sheet xmlns:r="http://schemas.openxmlformats.org/officeDocument/2006/relationships" name="02 Prior Year Sales" sheetId="3" r:id="Rcb0ffa398ce84fd4"/>
    <x:sheet xmlns:r="http://schemas.openxmlformats.org/officeDocument/2006/relationships" name="03 Prior Year Marketing" sheetId="4" r:id="R6139c2c26007496e"/>
    <x:sheet xmlns:r="http://schemas.openxmlformats.org/officeDocument/2006/relationships" name="04 Prior Year Programs" sheetId="5" r:id="Re20096030a374631"/>
    <x:sheet xmlns:r="http://schemas.openxmlformats.org/officeDocument/2006/relationships" name="05 Draft Sales Budget" sheetId="6" r:id="Re1422553f4044159"/>
    <x:sheet xmlns:r="http://schemas.openxmlformats.org/officeDocument/2006/relationships" name="06 Draft Program Plan" sheetId="7" r:id="Reaa5443917214f19"/>
    <x:sheet xmlns:r="http://schemas.openxmlformats.org/officeDocument/2006/relationships" name="07 Draft Operating Costs" sheetId="8" r:id="R0b91950b4a1545b6"/>
    <x:sheet xmlns:r="http://schemas.openxmlformats.org/officeDocument/2006/relationships" name="08 Draft P&amp;L" sheetId="9" r:id="R5a863fdad519408d"/>
    <x:sheet xmlns:r="http://schemas.openxmlformats.org/officeDocument/2006/relationships" name="09 Assumption Review" sheetId="11" r:id="R70ddc7f2d7b74488"/>
    <x:sheet xmlns:r="http://schemas.openxmlformats.org/officeDocument/2006/relationships" name="10 Corrected Budget" sheetId="12" r:id="R271af051c2184b0c"/>
    <x:sheet xmlns:r="http://schemas.openxmlformats.org/officeDocument/2006/relationships" name="11 Management Recommendation" sheetId="13" r:id="R12152a1e5b954af7"/>
    <x:sheet xmlns:r="http://schemas.openxmlformats.org/officeDocument/2006/relationships" name="12 Management Budget" sheetId="14" r:id="Rbe3cdc7f35dd40bd"/>
    <x:sheet xmlns:r="http://schemas.openxmlformats.org/officeDocument/2006/relationships" name="13 Monthly Comparison" sheetId="15" r:id="R848a53f133d04f1e"/>
    <x:sheet xmlns:r="http://schemas.openxmlformats.org/officeDocument/2006/relationships" name="14 Part 1 Build" sheetId="16" r:id="R8f679ce9beda4e49"/>
    <x:sheet xmlns:r="http://schemas.openxmlformats.org/officeDocument/2006/relationships" name="15 Part 2 Build" sheetId="17" r:id="R808442154fdc4957"/>
    <x:sheet xmlns:r="http://schemas.openxmlformats.org/officeDocument/2006/relationships" name="16 Checks" sheetId="18" r:id="Rd9494eb17628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€#,##0;[Red](€#,##0);-"/>
    <x:numFmt numFmtId="201" formatCode="0.0%"/>
    <x:numFmt numFmtId="202" formatCode="#,##0;[Red](#,##0);-"/>
    <x:numFmt numFmtId="203" formatCode="0.0"/>
    <x:numFmt numFmtId="204" formatCode="€#,##0;[Red](€#,##0);&quot;–&quot;"/>
    <x:numFmt numFmtId="205" formatCode="0.0%;[Red](0.0%);&quot;–&quot;"/>
    <x:numFmt numFmtId="206" formatCode="#,##0.0"/>
    <x:numFmt numFmtId="207" formatCode="#,##0;[Red](#,##0);&quot;–&quot;"/>
    <x:numFmt numFmtId="208" formatCode="0.000000"/>
    <x:numFmt numFmtId="209" formatCode="0.0;[Red](0.0);&quot;–&quot;"/>
    <x:numFmt numFmtId="210" formatCode="€#,##0.0;[Red](€#,##0.0);&quot;–&quot;"/>
  </x:numFmts>
  <x:fonts count="16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2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0000FF"/>
      <x:name val="Arial"/>
    </x:font>
    <x:font>
      <x:sz val="10"/>
      <x:name val="Arial"/>
    </x:font>
    <x:font>
      <x:b/>
      <x:sz val="14"/>
      <x:name val="Arial"/>
    </x:font>
    <x:font>
      <x:i/>
      <x:sz val="10"/>
      <x:name val="Arial"/>
    </x:font>
    <x:font>
      <x:b/>
      <x:sz val="14"/>
      <x:color rgb="FF000000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A4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83D48"/>
      </x:patternFill>
    </x:fill>
    <x:fill>
      <x:patternFill patternType="solid">
        <x:fgColor rgb="FFFFF2CC"/>
      </x:patternFill>
    </x:fill>
    <x:fill>
      <x:patternFill patternType="solid">
        <x:fgColor rgb="FFE6EFF3"/>
      </x:patternFill>
    </x:fill>
    <x:fill>
      <x:patternFill patternType="solid">
        <x:fgColor rgb="FFFFFFFF"/>
      </x:patternFill>
    </x:fill>
    <x:fill>
      <x:patternFill patternType="solid">
        <x:fgColor rgb="FFFFF7E5"/>
      </x:patternFill>
    </x:fill>
    <x:fill>
      <x:patternFill patternType="solid">
        <x:fgColor rgb="FFF0F7EA"/>
      </x:patternFill>
    </x:fill>
    <x:fill>
      <x:patternFill patternType="solid">
        <x:fgColor rgb="FF173A46"/>
      </x:patternFill>
    </x:fill>
    <x:fill>
      <x:patternFill patternType="solid">
        <x:fgColor rgb="FFE6EFF3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7387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double">
        <x:color rgb="FF000000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73878D"/>
      </x:left>
      <x:top style="thin">
        <x:color rgb="FF73878D"/>
      </x:top>
      <x:bottom style="thin">
        <x:color rgb="FF73878D"/>
      </x:bottom>
    </x:border>
    <x:border>
      <x:top style="thin">
        <x:color rgb="FF73878D"/>
      </x:top>
      <x:bottom style="thin">
        <x:color rgb="FF73878D"/>
      </x:bottom>
    </x:border>
    <x:border>
      <x:right style="thin">
        <x:color rgb="FF73878D"/>
      </x:right>
      <x:top style="thin">
        <x:color rgb="FF73878D"/>
      </x:top>
      <x:bottom style="thin">
        <x:color rgb="FF73878D"/>
      </x:bottom>
    </x:border>
    <x:border>
      <x:top style="thin">
        <x:color rgb="FF73878D"/>
      </x:top>
      <x:bottom style="double">
        <x:color rgb="FF73878D"/>
      </x:bottom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/>
    <x:xf numFmtId="200" fontId="0" fillId="0" borderId="0" xfId="0" applyNumberFormat="1" applyFont="1" applyFill="1" applyBorder="1"/>
    <x:xf numFmtId="200" fontId="4" fillId="0" borderId="3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7" fillId="0" borderId="0" xfId="0" applyNumberFormat="1" applyFont="1" applyFill="1" applyBorder="1"/>
    <x:xf numFmtId="0" fontId="6" fillId="0" borderId="3" xfId="0" applyNumberFormat="1" applyFont="1" applyFill="1" applyBorder="1"/>
    <x:xf numFmtId="200" fontId="6" fillId="0" borderId="3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1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1" fontId="7" fillId="3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9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/>
    <x:xf numFmtId="0" fontId="11" fillId="0" borderId="0" xfId="0" applyNumberFormat="1" applyFont="1" applyFill="1" applyBorder="1"/>
    <x:xf numFmtId="201" fontId="7" fillId="0" borderId="0" xfId="0" applyNumberFormat="1" applyFont="1" applyFill="1" applyBorder="1"/>
    <x:xf numFmtId="202" fontId="6" fillId="3" borderId="0" xfId="0" applyNumberFormat="1" applyFont="1" applyFill="1" applyBorder="1"/>
    <x:xf numFmtId="201" fontId="7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/>
    <x:xf numFmtId="201" fontId="0" fillId="5" borderId="2" xfId="0" applyNumberFormat="1" applyFont="1" applyFill="1" applyBorder="1"/>
    <x:xf numFmtId="202" fontId="0" fillId="5" borderId="2" xfId="0" applyNumberFormat="1" applyFont="1" applyFill="1" applyBorder="1"/>
    <x:xf numFmtId="200" fontId="7" fillId="5" borderId="2" xfId="0" applyNumberFormat="1" applyFont="1" applyFill="1" applyBorder="1"/>
    <x:xf numFmtId="201" fontId="7" fillId="5" borderId="2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2" fontId="7" fillId="5" borderId="2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2" fillId="6" borderId="0" xfId="0" applyNumberFormat="1" applyFont="1" applyFill="1" applyBorder="1"/>
    <x:xf numFmtId="0" fontId="3" fillId="6" borderId="0" xfId="0" applyNumberFormat="1" applyFont="1" applyFill="1" applyBorder="1"/>
    <x:xf numFmtId="0" fontId="12" fillId="7" borderId="0" xfId="0" applyNumberFormat="1" applyFont="1" applyFill="1" applyBorder="1"/>
    <x:xf numFmtId="0" fontId="3" fillId="6" borderId="4" xfId="0" applyNumberFormat="1" applyFont="1" applyFill="1" applyBorder="1"/>
    <x:xf numFmtId="0" fontId="12" fillId="0" borderId="5" xfId="0" applyNumberFormat="1" applyFont="1" applyFill="1" applyBorder="1"/>
    <x:xf numFmtId="0" fontId="12" fillId="7" borderId="5" xfId="0" applyNumberFormat="1" applyFont="1" applyFill="1" applyBorder="1"/>
    <x:xf numFmtId="0" fontId="12" fillId="0" borderId="6" xfId="0" applyNumberFormat="1" applyFont="1" applyFill="1" applyBorder="1"/>
    <x:xf numFmtId="0" fontId="12" fillId="7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/>
    </x:xf>
    <x:xf numFmtId="205" fontId="7" fillId="5" borderId="2" xfId="0" applyNumberFormat="1" applyFont="1" applyFill="1" applyBorder="1" applyAlignment="1">
      <x:alignment vertical="center"/>
    </x:xf>
    <x:xf numFmtId="206" fontId="7" fillId="5" borderId="2" xfId="0" applyNumberFormat="1" applyFont="1" applyFill="1" applyBorder="1" applyAlignment="1">
      <x:alignment vertical="center"/>
    </x:xf>
    <x:xf numFmtId="204" fontId="7" fillId="8" borderId="2" xfId="0" applyNumberFormat="1" applyFont="1" applyFill="1" applyBorder="1" applyAlignment="1">
      <x:alignment vertical="center"/>
    </x:xf>
    <x:xf numFmtId="205" fontId="7" fillId="8" borderId="2" xfId="0" applyNumberFormat="1" applyFont="1" applyFill="1" applyBorder="1" applyAlignment="1">
      <x:alignment vertical="center"/>
    </x:xf>
    <x:xf numFmtId="204" fontId="9" fillId="5" borderId="2" xfId="0" applyNumberFormat="1" applyFont="1" applyFill="1" applyBorder="1" applyAlignment="1">
      <x:alignment vertical="center"/>
    </x:xf>
    <x:xf numFmtId="206" fontId="9" fillId="5" borderId="2" xfId="0" applyNumberFormat="1" applyFont="1" applyFill="1" applyBorder="1" applyAlignment="1">
      <x:alignment vertical="center"/>
    </x:xf>
    <x:xf numFmtId="206" fontId="7" fillId="8" borderId="2" xfId="0" applyNumberFormat="1" applyFont="1" applyFill="1" applyBorder="1" applyAlignment="1">
      <x:alignment vertical="center"/>
    </x:xf>
    <x:xf numFmtId="204" fontId="12" fillId="7" borderId="5" xfId="0" applyNumberFormat="1" applyFont="1" applyFill="1" applyBorder="1"/>
    <x:xf numFmtId="204" fontId="12" fillId="0" borderId="5" xfId="0" applyNumberFormat="1" applyFont="1" applyFill="1" applyBorder="1"/>
    <x:xf numFmtId="205" fontId="12" fillId="7" borderId="5" xfId="0" applyNumberFormat="1" applyFont="1" applyFill="1" applyBorder="1"/>
    <x:xf numFmtId="205" fontId="12" fillId="0" borderId="5" xfId="0" applyNumberFormat="1" applyFont="1" applyFill="1" applyBorder="1"/>
    <x:xf numFmtId="206" fontId="12" fillId="7" borderId="5" xfId="0" applyNumberFormat="1" applyFont="1" applyFill="1" applyBorder="1"/>
    <x:xf numFmtId="206" fontId="12" fillId="0" borderId="5" xfId="0" applyNumberFormat="1" applyFont="1" applyFill="1" applyBorder="1"/>
    <x:xf numFmtId="206" fontId="12" fillId="7" borderId="6" xfId="0" applyNumberFormat="1" applyFont="1" applyFill="1" applyBorder="1"/>
    <x:xf numFmtId="206" fontId="12" fillId="0" borderId="6" xfId="0" applyNumberFormat="1" applyFont="1" applyFill="1" applyBorder="1"/>
    <x:xf numFmtId="204" fontId="12" fillId="8" borderId="5" xfId="0" applyNumberFormat="1" applyFont="1" applyFill="1" applyBorder="1"/>
    <x:xf numFmtId="204" fontId="7" fillId="8" borderId="5" xfId="0" applyNumberFormat="1" applyFont="1" applyFill="1" applyBorder="1"/>
    <x:xf numFmtId="205" fontId="12" fillId="8" borderId="5" xfId="0" applyNumberFormat="1" applyFont="1" applyFill="1" applyBorder="1"/>
    <x:xf numFmtId="205" fontId="7" fillId="8" borderId="5" xfId="0" applyNumberFormat="1" applyFont="1" applyFill="1" applyBorder="1"/>
    <x:xf numFmtId="204" fontId="9" fillId="7" borderId="5" xfId="0" applyNumberFormat="1" applyFont="1" applyFill="1" applyBorder="1"/>
    <x:xf numFmtId="206" fontId="9" fillId="7" borderId="5" xfId="0" applyNumberFormat="1" applyFont="1" applyFill="1" applyBorder="1"/>
    <x:xf numFmtId="206" fontId="9" fillId="7" borderId="6" xfId="0" applyNumberFormat="1" applyFont="1" applyFill="1" applyBorder="1"/>
    <x:xf numFmtId="206" fontId="12" fillId="8" borderId="5" xfId="0" applyNumberFormat="1" applyFont="1" applyFill="1" applyBorder="1"/>
    <x:xf numFmtId="206" fontId="12" fillId="8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 wrapText="1"/>
    </x:xf>
    <x:xf numFmtId="204" fontId="7" fillId="8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10" borderId="0" xfId="0" applyNumberFormat="1" applyFont="1" applyFill="1" applyBorder="1"/>
    <x:xf numFmtId="0" fontId="12" fillId="11" borderId="0" xfId="0" applyNumberFormat="1" applyFont="1" applyFill="1" applyBorder="1"/>
    <x:xf numFmtId="204" fontId="12" fillId="9" borderId="0" xfId="0" applyNumberFormat="1" applyFont="1" applyFill="1" applyBorder="1"/>
    <x:xf numFmtId="204" fontId="12" fillId="10" borderId="0" xfId="0" applyNumberFormat="1" applyFont="1" applyFill="1" applyBorder="1"/>
    <x:xf numFmtId="204" fontId="12" fillId="11" borderId="0" xfId="0" applyNumberFormat="1" applyFont="1" applyFill="1" applyBorder="1"/>
    <x:xf numFmtId="204" fontId="12" fillId="0" borderId="0" xfId="0" applyNumberFormat="1" applyFont="1" applyFill="1" applyBorder="1"/>
    <x:xf numFmtId="0" fontId="4" fillId="9" borderId="0" xfId="0" applyNumberFormat="1" applyFont="1" applyFill="1" applyBorder="1"/>
    <x:xf numFmtId="204" fontId="4" fillId="9" borderId="0" xfId="0" applyNumberFormat="1" applyFont="1" applyFill="1" applyBorder="1"/>
    <x:xf numFmtId="0" fontId="4" fillId="10" borderId="0" xfId="0" applyNumberFormat="1" applyFont="1" applyFill="1" applyBorder="1"/>
    <x:xf numFmtId="204" fontId="4" fillId="10" borderId="0" xfId="0" applyNumberFormat="1" applyFont="1" applyFill="1" applyBorder="1"/>
    <x:xf numFmtId="0" fontId="4" fillId="11" borderId="0" xfId="0" applyNumberFormat="1" applyFont="1" applyFill="1" applyBorder="1"/>
    <x:xf numFmtId="204" fontId="4" fillId="11" borderId="0" xfId="0" applyNumberFormat="1" applyFont="1" applyFill="1" applyBorder="1"/>
    <x:xf numFmtId="204" fontId="4" fillId="0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7" xfId="0" applyNumberFormat="1" applyFont="1" applyFill="1" applyBorder="1" applyAlignment="1">
      <x:alignment horizontal="center" vertical="center"/>
    </x:xf>
    <x:xf numFmtId="0" fontId="3" fillId="12" borderId="8" xfId="0" applyNumberFormat="1" applyFont="1" applyFill="1" applyBorder="1" applyAlignment="1">
      <x:alignment horizontal="center" vertical="center"/>
    </x:xf>
    <x:xf numFmtId="0" fontId="3" fillId="12" borderId="9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10" xfId="0" applyNumberFormat="1" applyFont="1" applyFill="1" applyBorder="1"/>
    <x:xf numFmtId="0" fontId="6" fillId="13" borderId="11" xfId="0" applyNumberFormat="1" applyFont="1" applyFill="1" applyBorder="1"/>
    <x:xf numFmtId="0" fontId="6" fillId="13" borderId="12" xfId="0" applyNumberFormat="1" applyFont="1" applyFill="1" applyBorder="1"/>
    <x:xf numFmtId="0" fontId="7" fillId="13" borderId="5" xfId="0" applyNumberFormat="1" applyFont="1" applyFill="1" applyBorder="1" applyAlignment="1">
      <x:alignment vertical="center" wrapText="1"/>
    </x:xf>
    <x:xf numFmtId="0" fontId="7" fillId="13" borderId="5" xfId="0" applyNumberFormat="1" applyFont="1" applyFill="1" applyBorder="1" applyAlignment="1">
      <x:alignment vertical="center"/>
    </x:xf>
    <x:xf numFmtId="0" fontId="6" fillId="13" borderId="5" xfId="0" applyNumberFormat="1" applyFont="1" applyFill="1" applyBorder="1" applyAlignment="1">
      <x:alignment vertical="center" wrapText="1"/>
    </x:xf>
    <x:xf numFmtId="0" fontId="6" fillId="13" borderId="5" xfId="0" applyNumberFormat="1" applyFont="1" applyFill="1" applyBorder="1" applyAlignment="1">
      <x:alignment vertical="center"/>
    </x:xf>
    <x:xf numFmtId="0" fontId="6" fillId="13" borderId="10" xfId="0" applyNumberFormat="1" applyFont="1" applyFill="1" applyBorder="1" applyAlignment="1">
      <x:alignment vertical="center" wrapText="1"/>
    </x:xf>
    <x:xf numFmtId="0" fontId="6" fillId="13" borderId="11" xfId="0" applyNumberFormat="1" applyFont="1" applyFill="1" applyBorder="1" applyAlignment="1">
      <x:alignment vertical="center" wrapText="1"/>
    </x:xf>
    <x:xf numFmtId="0" fontId="6" fillId="13" borderId="11" xfId="0" applyNumberFormat="1" applyFont="1" applyFill="1" applyBorder="1" applyAlignment="1">
      <x:alignment vertical="center"/>
    </x:xf>
    <x:xf numFmtId="0" fontId="6" fillId="13" borderId="12" xfId="0" applyNumberFormat="1" applyFont="1" applyFill="1" applyBorder="1" applyAlignment="1">
      <x:alignment vertical="center"/>
    </x:xf>
    <x:xf numFmtId="0" fontId="7" fillId="14" borderId="5" xfId="0" applyNumberFormat="1" applyFont="1" applyFill="1" applyBorder="1" applyAlignment="1">
      <x:alignment vertical="center"/>
    </x:xf>
    <x:xf numFmtId="0" fontId="9" fillId="14" borderId="5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6" fillId="13" borderId="13" xfId="0" applyNumberFormat="1" applyFont="1" applyFill="1" applyBorder="1" applyAlignment="1">
      <x:alignment vertical="center" wrapText="1"/>
    </x:xf>
    <x:xf numFmtId="0" fontId="6" fillId="13" borderId="13" xfId="0" applyNumberFormat="1" applyFont="1" applyFill="1" applyBorder="1" applyAlignment="1">
      <x:alignment vertical="center"/>
    </x:xf>
    <x:xf numFmtId="204" fontId="10" fillId="0" borderId="4" xfId="0" applyNumberFormat="1" applyFont="1" applyFill="1" applyBorder="1" applyAlignment="1">
      <x:alignment vertical="center"/>
    </x:xf>
    <x:xf numFmtId="204" fontId="10" fillId="0" borderId="5" xfId="0" applyNumberFormat="1" applyFont="1" applyFill="1" applyBorder="1" applyAlignment="1">
      <x:alignment vertical="center"/>
    </x:xf>
    <x:xf numFmtId="204" fontId="7" fillId="0" borderId="5" xfId="0" applyNumberFormat="1" applyFont="1" applyFill="1" applyBorder="1" applyAlignment="1">
      <x:alignment vertical="center"/>
    </x:xf>
    <x:xf numFmtId="204" fontId="6" fillId="13" borderId="13" xfId="0" applyNumberFormat="1" applyFont="1" applyFill="1" applyBorder="1" applyAlignment="1">
      <x:alignment vertical="center"/>
    </x:xf>
    <x:xf numFmtId="204" fontId="9" fillId="14" borderId="5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9" fillId="14" borderId="5" xfId="0" applyNumberFormat="1" applyFont="1" applyFill="1" applyBorder="1" applyAlignment="1">
      <x:alignment vertical="center"/>
    </x:xf>
    <x:xf numFmtId="201" fontId="10" fillId="0" borderId="5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7" fontId="7" fillId="0" borderId="5" xfId="0" applyNumberFormat="1" applyFont="1" applyFill="1" applyBorder="1" applyAlignment="1">
      <x:alignment vertical="center"/>
    </x:xf>
    <x:xf numFmtId="208" fontId="7" fillId="0" borderId="5" xfId="0" applyNumberFormat="1" applyFont="1" applyFill="1" applyBorder="1" applyAlignment="1">
      <x:alignment vertical="center"/>
    </x:xf>
    <x:xf numFmtId="209" fontId="7" fillId="0" borderId="5" xfId="0" applyNumberFormat="1" applyFont="1" applyFill="1" applyBorder="1" applyAlignment="1">
      <x:alignment vertical="center"/>
    </x:xf>
    <x:xf numFmtId="207" fontId="9" fillId="14" borderId="5" xfId="0" applyNumberFormat="1" applyFont="1" applyFill="1" applyBorder="1" applyAlignment="1">
      <x:alignment vertical="center"/>
    </x:xf>
    <x:xf numFmtId="209" fontId="9" fillId="14" borderId="5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top"/>
    </x:xf>
    <x:xf numFmtId="0" fontId="11" fillId="5" borderId="2" xfId="0" applyNumberFormat="1" applyFont="1" applyFill="1" applyBorder="1" applyAlignment="1">
      <x:alignment vertical="top" wrapText="1"/>
    </x:xf>
    <x:xf numFmtId="204" fontId="10" fillId="5" borderId="2" xfId="0" applyNumberFormat="1" applyFont="1" applyFill="1" applyBorder="1" applyAlignment="1">
      <x:alignment vertical="center"/>
    </x:xf>
    <x:xf numFmtId="206" fontId="10" fillId="5" borderId="2" xfId="0" applyNumberFormat="1" applyFont="1" applyFill="1" applyBorder="1" applyAlignment="1">
      <x:alignment vertical="center"/>
    </x:xf>
    <x:xf numFmtId="209" fontId="10" fillId="5" borderId="2" xfId="0" applyNumberFormat="1" applyFont="1" applyFill="1" applyBorder="1" applyAlignment="1">
      <x:alignment vertical="center"/>
    </x:xf>
    <x:xf numFmtId="209" fontId="7" fillId="8" borderId="2" xfId="0" applyNumberFormat="1" applyFont="1" applyFill="1" applyBorder="1" applyAlignment="1">
      <x:alignment vertical="center"/>
    </x:xf>
    <x:xf numFmtId="207" fontId="10" fillId="5" borderId="2" xfId="0" applyNumberFormat="1" applyFont="1" applyFill="1" applyBorder="1" applyAlignment="1">
      <x:alignment vertical="center"/>
    </x:xf>
    <x:xf numFmtId="207" fontId="7" fillId="8" borderId="2" xfId="0" applyNumberFormat="1" applyFont="1" applyFill="1" applyBorder="1" applyAlignment="1">
      <x:alignment vertical="center"/>
    </x:xf>
    <x:xf numFmtId="0" fontId="9" fillId="5" borderId="2" xfId="0" applyNumberFormat="1" applyFont="1" applyFill="1" applyBorder="1" applyAlignment="1">
      <x:alignment vertical="center" wrapText="1"/>
    </x:xf>
    <x:xf numFmtId="0" fontId="12" fillId="5" borderId="5" xfId="0" applyNumberFormat="1" applyFont="1" applyFill="1" applyBorder="1" applyAlignment="1">
      <x:alignment wrapText="1"/>
    </x:xf>
    <x:xf numFmtId="0" fontId="12" fillId="5" borderId="6" xfId="0" applyNumberFormat="1" applyFont="1" applyFill="1" applyBorder="1" applyAlignment="1">
      <x:alignment wrapText="1"/>
    </x:xf>
    <x:xf numFmtId="0" fontId="11" fillId="5" borderId="5" xfId="0" applyNumberFormat="1" applyFont="1" applyFill="1" applyBorder="1" applyAlignment="1">
      <x:alignment wrapText="1"/>
    </x:xf>
    <x:xf numFmtId="0" fontId="11" fillId="5" borderId="6" xfId="0" applyNumberFormat="1" applyFont="1" applyFill="1" applyBorder="1" applyAlignment="1">
      <x:alignment wrapText="1"/>
    </x:xf>
    <x:xf numFmtId="204" fontId="10" fillId="5" borderId="5" xfId="0" applyNumberFormat="1" applyFont="1" applyFill="1" applyBorder="1"/>
    <x:xf numFmtId="206" fontId="10" fillId="5" borderId="5" xfId="0" applyNumberFormat="1" applyFont="1" applyFill="1" applyBorder="1"/>
    <x:xf numFmtId="206" fontId="10" fillId="5" borderId="6" xfId="0" applyNumberFormat="1" applyFont="1" applyFill="1" applyBorder="1"/>
    <x:xf numFmtId="209" fontId="10" fillId="5" borderId="5" xfId="0" applyNumberFormat="1" applyFont="1" applyFill="1" applyBorder="1"/>
    <x:xf numFmtId="209" fontId="12" fillId="8" borderId="5" xfId="0" applyNumberFormat="1" applyFont="1" applyFill="1" applyBorder="1"/>
    <x:xf numFmtId="207" fontId="10" fillId="5" borderId="6" xfId="0" applyNumberFormat="1" applyFont="1" applyFill="1" applyBorder="1"/>
    <x:xf numFmtId="207" fontId="12" fillId="8" borderId="6" xfId="0" applyNumberFormat="1" applyFont="1" applyFill="1" applyBorder="1"/>
    <x:xf numFmtId="0" fontId="0" fillId="12" borderId="0" xfId="0" applyNumberFormat="1" applyFont="1" applyFill="1" applyBorder="1"/>
    <x:xf numFmtId="210" fontId="0" fillId="0" borderId="0" xfId="0" applyNumberFormat="1" applyFont="1" applyFill="1" applyBorder="1"/>
    <x:xf numFmtId="21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209" fontId="0" fillId="0" borderId="0" xfId="0" applyNumberFormat="1" applyFont="1" applyFill="1" applyBorder="1"/>
    <x:xf numFmtId="207" fontId="0" fillId="0" borderId="0" xfId="0" applyNumberFormat="1" applyFont="1" applyFill="1" applyBorder="1"/>
    <x:xf numFmtId="209" fontId="0" fillId="0" borderId="2" xfId="0" applyNumberFormat="1" applyFont="1" applyFill="1" applyBorder="1"/>
    <x:xf numFmtId="207" fontId="0" fillId="0" borderId="2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210" fontId="7" fillId="0" borderId="2" xfId="0" applyNumberFormat="1" applyFont="1" applyFill="1" applyBorder="1"/>
    <x:xf numFmtId="0" fontId="6" fillId="12" borderId="7" xfId="0" applyNumberFormat="1" applyFont="1" applyFill="1" applyBorder="1" applyAlignment="1">
      <x:alignment horizontal="center" vertical="center"/>
    </x:xf>
    <x:xf numFmtId="0" fontId="6" fillId="12" borderId="8" xfId="0" applyNumberFormat="1" applyFont="1" applyFill="1" applyBorder="1" applyAlignment="1">
      <x:alignment horizontal="center" vertical="center"/>
    </x:xf>
    <x:xf numFmtId="0" fontId="6" fillId="12" borderId="9" xfId="0" applyNumberFormat="1" applyFont="1" applyFill="1" applyBorder="1" applyAlignment="1">
      <x:alignment horizontal="center" vertical="center"/>
    </x:xf>
    <x:xf numFmtId="209" fontId="7" fillId="0" borderId="2" xfId="0" applyNumberFormat="1" applyFont="1" applyFill="1" applyBorder="1"/>
    <x:xf numFmtId="207" fontId="7" fillId="0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6ec56c6594852" /><Relationship Type="http://schemas.openxmlformats.org/officeDocument/2006/relationships/theme" Target="/xl/theme/theme1.xml" Id="Rf81b8e054bc94cb2" /><Relationship Type="http://schemas.openxmlformats.org/officeDocument/2006/relationships/sharedStrings" Target="/xl/sharedStrings.xml" Id="Re4ed2a08d6f749ae" /><Relationship Type="http://schemas.openxmlformats.org/officeDocument/2006/relationships/worksheet" Target="/xl/worksheets/sheet1.xml" Id="R3d576e53ce0843af" /><Relationship Type="http://schemas.openxmlformats.org/officeDocument/2006/relationships/worksheet" Target="/xl/worksheets/sheet2.xml" Id="R25e23c79450e4660" /><Relationship Type="http://schemas.openxmlformats.org/officeDocument/2006/relationships/worksheet" Target="/xl/worksheets/sheet3.xml" Id="Rcb0ffa398ce84fd4" /><Relationship Type="http://schemas.openxmlformats.org/officeDocument/2006/relationships/worksheet" Target="/xl/worksheets/sheet4.xml" Id="R6139c2c26007496e" /><Relationship Type="http://schemas.openxmlformats.org/officeDocument/2006/relationships/worksheet" Target="/xl/worksheets/sheet5.xml" Id="Re20096030a374631" /><Relationship Type="http://schemas.openxmlformats.org/officeDocument/2006/relationships/worksheet" Target="/xl/worksheets/sheet6.xml" Id="Re1422553f4044159" /><Relationship Type="http://schemas.openxmlformats.org/officeDocument/2006/relationships/worksheet" Target="/xl/worksheets/sheet7.xml" Id="Reaa5443917214f19" /><Relationship Type="http://schemas.openxmlformats.org/officeDocument/2006/relationships/worksheet" Target="/xl/worksheets/sheet8.xml" Id="R0b91950b4a1545b6" /><Relationship Type="http://schemas.openxmlformats.org/officeDocument/2006/relationships/worksheet" Target="/xl/worksheets/sheet9.xml" Id="R5a863fdad519408d" /><Relationship Type="http://schemas.openxmlformats.org/officeDocument/2006/relationships/worksheet" Target="/xl/worksheets/sheet10.xml" Id="R70ddc7f2d7b74488" /><Relationship Type="http://schemas.openxmlformats.org/officeDocument/2006/relationships/worksheet" Target="/xl/worksheets/sheet11.xml" Id="R271af051c2184b0c" /><Relationship Type="http://schemas.openxmlformats.org/officeDocument/2006/relationships/worksheet" Target="/xl/worksheets/sheet12.xml" Id="R12152a1e5b954af7" /><Relationship Type="http://schemas.openxmlformats.org/officeDocument/2006/relationships/worksheet" Target="/xl/worksheets/sheet13.xml" Id="Rbe3cdc7f35dd40bd" /><Relationship Type="http://schemas.openxmlformats.org/officeDocument/2006/relationships/worksheet" Target="/xl/worksheets/sheet14.xml" Id="R848a53f133d04f1e" /><Relationship Type="http://schemas.openxmlformats.org/officeDocument/2006/relationships/worksheet" Target="/xl/worksheets/sheet15.xml" Id="R8f679ce9beda4e49" /><Relationship Type="http://schemas.openxmlformats.org/officeDocument/2006/relationships/worksheet" Target="/xl/worksheets/sheet16.xml" Id="R808442154fdc4957" /><Relationship Type="http://schemas.openxmlformats.org/officeDocument/2006/relationships/worksheet" Target="/xl/worksheets/sheet17.xml" Id="Rd9494eb1762840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64" hidden="0" customWidth="1"/>
  </x:cols>
  <x:sheetData>
    <x:row r="2">
      <x:c r="B2" s="24" t="str">
        <x:v>Bad Boss Business School Budget Review</x:v>
      </x:c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Student workbook. EUR, excluding VAT unless stated otherwise.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8" t="str">
        <x:v>Colour</x:v>
      </x:c>
      <x:c r="C6" s="8" t="str">
        <x:v>Meaning</x:v>
      </x:c>
      <x:c r="D6" s="27"/>
      <x:c r="E6" s="27"/>
      <x:c r="F6" s="27"/>
      <x:c r="G6" s="27"/>
      <x:c r="H6" s="27"/>
      <x:c r="I6" s="27"/>
      <x:c r="J6" s="27"/>
    </x:row>
    <x:row r="7">
      <x:c r="B7" s="28" t="str">
        <x:v>Blue text</x:v>
      </x:c>
      <x:c r="C7" s="29" t="str">
        <x:v>Manual inputs supplied by departments</x:v>
      </x:c>
      <x:c r="D7" s="27"/>
      <x:c r="E7" s="27"/>
      <x:c r="F7" s="27"/>
      <x:c r="G7" s="27"/>
      <x:c r="H7" s="27"/>
      <x:c r="I7" s="27"/>
      <x:c r="J7" s="27"/>
    </x:row>
    <x:row r="8">
      <x:c r="B8" s="28" t="str">
        <x:v>Green text</x:v>
      </x:c>
      <x:c r="C8" s="29" t="str">
        <x:v>Links to another worksheet</x:v>
      </x:c>
      <x:c r="D8" s="27"/>
      <x:c r="E8" s="27"/>
      <x:c r="F8" s="27"/>
      <x:c r="G8" s="27"/>
      <x:c r="H8" s="27"/>
      <x:c r="I8" s="27"/>
      <x:c r="J8" s="27"/>
    </x:row>
    <x:row r="9">
      <x:c r="B9" s="28" t="str">
        <x:v>Black text</x:v>
      </x:c>
      <x:c r="C9" s="29" t="str">
        <x:v>Formulas calculated on the same worksheet</x:v>
      </x:c>
      <x:c r="D9" s="27"/>
      <x:c r="E9" s="27"/>
      <x:c r="F9" s="27"/>
      <x:c r="G9" s="27"/>
      <x:c r="H9" s="27"/>
      <x:c r="I9" s="27"/>
      <x:c r="J9" s="27"/>
    </x:row>
    <x:row r="10">
      <x:c r="B10" s="28" t="str">
        <x:v>Yellow fill</x:v>
      </x:c>
      <x:c r="C10" s="29" t="str">
        <x:v>Student working area</x:v>
      </x:c>
      <x:c r="D10" s="27"/>
      <x:c r="E10" s="27"/>
      <x:c r="F10" s="27"/>
      <x:c r="G10" s="27"/>
      <x:c r="H10" s="27"/>
      <x:c r="I10" s="27"/>
      <x:c r="J10" s="27"/>
    </x:row>
    <x:row r="11"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>
      <x:c r="B12" s="30" t="str">
        <x:v>What the workbook contains</x:v>
      </x:c>
      <x:c r="C12" s="27"/>
      <x:c r="D12" s="27"/>
      <x:c r="E12" s="27"/>
      <x:c r="F12" s="27"/>
      <x:c r="G12" s="27"/>
      <x:c r="H12" s="27"/>
      <x:c r="I12" s="27"/>
      <x:c r="J12" s="27"/>
    </x:row>
    <x:row r="13">
      <x:c r="B13" s="27" t="str">
        <x:v>Prior-year financial, sales, marketing and operational results</x:v>
      </x:c>
      <x:c r="C13" s="27"/>
      <x:c r="D13" s="27"/>
      <x:c r="E13" s="27"/>
      <x:c r="F13" s="27"/>
      <x:c r="G13" s="27"/>
      <x:c r="H13" s="27"/>
      <x:c r="I13" s="27"/>
      <x:c r="J13" s="27"/>
    </x:row>
    <x:row r="14">
      <x:c r="B14" s="27" t="str">
        <x:v>The sales director's draft revenue budget</x:v>
      </x:c>
      <x:c r="C14" s="27"/>
      <x:c r="D14" s="27"/>
      <x:c r="E14" s="27"/>
      <x:c r="F14" s="27"/>
      <x:c r="G14" s="27"/>
      <x:c r="H14" s="27"/>
      <x:c r="I14" s="27"/>
      <x:c r="J14" s="27"/>
    </x:row>
    <x:row r="15">
      <x:c r="B15" s="27" t="str">
        <x:v>The operations director's planned-program register</x:v>
      </x:c>
      <x:c r="C15" s="27"/>
      <x:c r="D15" s="27"/>
      <x:c r="E15" s="27"/>
      <x:c r="F15" s="27"/>
      <x:c r="G15" s="27"/>
      <x:c r="H15" s="27"/>
      <x:c r="I15" s="27"/>
      <x:c r="J15" s="27"/>
    </x:row>
    <x:row r="16">
      <x:c r="B16" s="27" t="str">
        <x:v>The finance director's operating-expense budget</x:v>
      </x:c>
      <x:c r="C16" s="27"/>
      <x:c r="D16" s="27"/>
      <x:c r="E16" s="27"/>
      <x:c r="F16" s="27"/>
      <x:c r="G16" s="27"/>
      <x:c r="H16" s="27"/>
      <x:c r="I16" s="27"/>
      <x:c r="J16" s="27"/>
    </x:row>
    <x:row r="17">
      <x:c r="B17" s="27" t="str">
        <x:v>The resulting draft profit and loss statement</x:v>
      </x:c>
      <x:c r="C17" s="27"/>
      <x:c r="D17" s="27"/>
      <x:c r="E17" s="27"/>
      <x:c r="F17" s="27"/>
      <x:c r="G17" s="27"/>
      <x:c r="H17" s="27"/>
      <x:c r="I17" s="27"/>
      <x:c r="J17" s="27"/>
    </x:row>
    <x:row r="18">
      <x:c r="B18" s="27" t="str">
        <x:v>Two tasks: first correct the forecast, then decide how to improve the business.</x:v>
      </x:c>
      <x:c r="C18" s="27"/>
      <x:c r="D18" s="27"/>
      <x:c r="E18" s="27"/>
      <x:c r="F18" s="27"/>
      <x:c r="G18" s="27"/>
      <x:c r="H18" s="27"/>
      <x:c r="I18" s="27"/>
      <x:c r="J18" s="27"/>
    </x:row>
    <x:row r="19">
      <x:c r="B19" s="27" t="str">
        <x:v>Work in sheets 09–13. Keep source sheets 01–08 unchanged.</x:v>
      </x:c>
      <x:c r="C19" s="27"/>
      <x:c r="D19" s="27"/>
      <x:c r="E19" s="27"/>
      <x:c r="F19" s="27"/>
      <x:c r="G19" s="27"/>
      <x:c r="H19" s="27"/>
      <x:c r="I19" s="27"/>
      <x:c r="J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>
      <x:c r="B21" s="30" t="str">
        <x:v>Part 1  Red-pencil correction</x:v>
      </x:c>
      <x:c r="C21" s="27"/>
      <x:c r="D21" s="27"/>
      <x:c r="E21" s="27"/>
      <x:c r="F21" s="27"/>
      <x:c r="G21" s="27"/>
      <x:c r="H21" s="27"/>
      <x:c r="I21" s="27"/>
      <x:c r="J21" s="27"/>
    </x:row>
    <x:row r="22" ht="24" customHeight="1">
      <x:c r="B22" s="31" t="str">
        <x:v>In 10 Corrected Budget, calculate the monthly result if existing decisions remain unchanged. Correct unsupported estimates using the case evidence; do not introduce new actions to improve performance.</x:v>
      </x:c>
      <x:c r="C22" s="31"/>
      <x:c r="D22" s="31"/>
      <x:c r="E22" s="31"/>
      <x:c r="F22" s="31"/>
      <x:c r="G22" s="31"/>
      <x:c r="H22" s="31"/>
      <x:c r="I22" s="31"/>
      <x:c r="J22" s="31"/>
    </x:row>
    <x:row r="23" ht="24" customHeight="1">
      <x:c r="B23" s="31"/>
      <x:c r="C23" s="31"/>
      <x:c r="D23" s="31"/>
      <x:c r="E23" s="31"/>
      <x:c r="F23" s="31"/>
      <x:c r="G23" s="31"/>
      <x:c r="H23" s="31"/>
      <x:c r="I23" s="31"/>
      <x:c r="J23" s="31"/>
    </x:row>
    <x:row r="25" ht="19" customHeight="1">
      <x:c r="B25" s="9" t="str">
        <x:v>Part 2  Management decisions and budget</x:v>
      </x:c>
      <x:c r="C25" s="9"/>
      <x:c r="D25" s="9"/>
      <x:c r="E25" s="9"/>
      <x:c r="F25" s="9"/>
      <x:c r="G25" s="9"/>
      <x:c r="H25" s="9"/>
      <x:c r="I25" s="9"/>
      <x:c r="J25" s="9"/>
    </x:row>
    <x:row r="26" ht="19" customHeight="1">
      <x:c r="B26" s="105" t="str">
        <x:v>Record your decisions in 11 Management Recommendation, including timing, costs and expected effects. Then build the resulting monthly P&amp;L in 12 Management Budget. Keep Part 1 intact.</x:v>
      </x:c>
      <x:c r="C26" s="105"/>
      <x:c r="D26" s="105"/>
      <x:c r="E26" s="105"/>
      <x:c r="F26" s="105"/>
      <x:c r="G26" s="105"/>
      <x:c r="H26" s="105"/>
      <x:c r="I26" s="105"/>
      <x:c r="J26" s="105"/>
    </x:row>
    <x:row r="27" ht="19" customHeight="1">
      <x:c r="B27" s="105"/>
      <x:c r="C27" s="105"/>
      <x:c r="D27" s="105"/>
      <x:c r="E27" s="105"/>
      <x:c r="F27" s="105"/>
      <x:c r="G27" s="105"/>
      <x:c r="H27" s="105"/>
      <x:c r="I27" s="105"/>
      <x:c r="J27" s="105"/>
    </x:row>
    <x:row r="28" ht="19" customHeight="1">
      <x:c r="B28" s="105"/>
      <x:c r="C28" s="105"/>
      <x:c r="D28" s="105"/>
      <x:c r="E28" s="105"/>
      <x:c r="F28" s="105"/>
      <x:c r="G28" s="105"/>
      <x:c r="H28" s="105"/>
      <x:c r="I28" s="105"/>
      <x:c r="J28" s="105"/>
    </x:row>
    <x:row r="29" ht="19" customHeight="1">
      <x:c r="B29" s="103"/>
      <x:c r="C29" s="103"/>
      <x:c r="D29" s="103"/>
      <x:c r="E29" s="103"/>
      <x:c r="F29" s="103"/>
      <x:c r="G29" s="103"/>
      <x:c r="H29" s="103"/>
      <x:c r="I29" s="103"/>
      <x:c r="J29" s="103"/>
    </x:row>
    <x:row r="30" ht="19" customHeight="1">
      <x:c r="B30" s="9" t="str">
        <x:v>Compare the three versions</x:v>
      </x:c>
      <x:c r="C30" s="9"/>
      <x:c r="D30" s="9"/>
      <x:c r="E30" s="9"/>
      <x:c r="F30" s="9"/>
      <x:c r="G30" s="9"/>
      <x:c r="H30" s="9"/>
      <x:c r="I30" s="9"/>
      <x:c r="J30" s="9"/>
    </x:row>
    <x:row r="31" ht="19" customHeight="1">
      <x:c r="B31" s="105" t="str">
        <x:v>13 Monthly Comparison links the original draft, Part 1 and Part 2. Use the same January–December columns and annual totals. Explain corrections and management decisions separately.</x:v>
      </x:c>
      <x:c r="C31" s="105"/>
      <x:c r="D31" s="105"/>
      <x:c r="E31" s="105"/>
      <x:c r="F31" s="105"/>
      <x:c r="G31" s="105"/>
      <x:c r="H31" s="105"/>
      <x:c r="I31" s="105"/>
      <x:c r="J31" s="105"/>
    </x:row>
    <x:row r="32" ht="19" customHeight="1"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 ht="19" customHeight="1">
      <x:c r="B33" s="105"/>
      <x:c r="C33" s="105"/>
      <x:c r="D33" s="105"/>
      <x:c r="E33" s="105"/>
      <x:c r="F33" s="105"/>
      <x:c r="G33" s="105"/>
      <x:c r="H33" s="105"/>
      <x:c r="I33" s="105"/>
      <x:c r="J33" s="105"/>
    </x:row>
    <x:row r="34" ht="19" customHeight="1">
      <x:c r="B34" s="103"/>
      <x:c r="C34" s="103"/>
      <x:c r="D34" s="103"/>
      <x:c r="E34" s="103"/>
      <x:c r="F34" s="103"/>
      <x:c r="G34" s="103"/>
      <x:c r="H34" s="103"/>
      <x:c r="I34" s="103"/>
      <x:c r="J34" s="103"/>
    </x:row>
    <x:row r="35" ht="19" customHeight="1">
      <x:c r="B35" s="105" t="str">
        <x:v>Use 09 Assumption Review to record evidence, uncertainties and whether a change is a correction or a new decision. Submit one workbook containing both budgets, their supporting calculations and the comparison.</x:v>
      </x:c>
      <x:c r="C35" s="105"/>
      <x:c r="D35" s="105"/>
      <x:c r="E35" s="105"/>
      <x:c r="F35" s="105"/>
      <x:c r="G35" s="105"/>
      <x:c r="H35" s="105"/>
      <x:c r="I35" s="105"/>
      <x:c r="J35" s="105"/>
    </x:row>
    <x:row r="36" ht="19" customHeight="1">
      <x:c r="B36" s="105"/>
      <x:c r="C36" s="105"/>
      <x:c r="D36" s="105"/>
      <x:c r="E36" s="105"/>
      <x:c r="F36" s="105"/>
      <x:c r="G36" s="105"/>
      <x:c r="H36" s="105"/>
      <x:c r="I36" s="105"/>
      <x:c r="J36" s="105"/>
    </x:row>
    <x:row r="37" ht="19" customHeight="1">
      <x:c r="B37" s="105"/>
      <x:c r="C37" s="105"/>
      <x:c r="D37" s="105"/>
      <x:c r="E37" s="105"/>
      <x:c r="F37" s="105"/>
      <x:c r="G37" s="105"/>
      <x:c r="H37" s="105"/>
      <x:c r="I37" s="105"/>
      <x:c r="J37" s="105"/>
    </x:row>
  </x:sheetData>
  <x:mergeCells>
    <x:mergeCell ref="B22:J23"/>
    <x:mergeCell ref="B26:J28"/>
    <x:mergeCell ref="B31:J33"/>
    <x:mergeCell ref="B35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monthly results.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Type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</x:v>
      </x:c>
      <x:c r="D7" s="40" t="n">
        <x:f>'02 Prior Year Sales'!D20</x:f>
        <x:v>44500</x:v>
      </x:c>
      <x:c r="E7" s="40" t="n">
        <x:f>'02 Prior Year Sales'!E20</x:f>
        <x:v>50500</x:v>
      </x:c>
      <x:c r="F7" s="40" t="n">
        <x:f>'02 Prior Year Sales'!F20</x:f>
        <x:v>45500</x:v>
      </x:c>
      <x:c r="G7" s="40" t="n">
        <x:f>'02 Prior Year Sales'!G20</x:f>
        <x:v>63500</x:v>
      </x:c>
      <x:c r="H7" s="40" t="n">
        <x:f>'02 Prior Year Sales'!H20</x:f>
        <x:v>43000</x:v>
      </x:c>
      <x:c r="I7" s="40" t="n">
        <x:f>'02 Prior Year Sales'!I20</x:f>
        <x:v>29000</x:v>
      </x:c>
      <x:c r="J7" s="40" t="n">
        <x:f>'02 Prior Year Sales'!J20</x:f>
        <x:v>15000</x:v>
      </x:c>
      <x:c r="K7" s="40" t="n">
        <x:f>'02 Prior Year Sales'!K20</x:f>
        <x:v>33000</x:v>
      </x:c>
      <x:c r="L7" s="40" t="n">
        <x:f>'02 Prior Year Sales'!L20</x:f>
        <x:v>60500</x:v>
      </x:c>
      <x:c r="M7" s="40" t="n">
        <x:f>'02 Prior Year Sales'!M20</x:f>
        <x:v>65500</x:v>
      </x:c>
      <x:c r="N7" s="40" t="n">
        <x:f>'02 Prior Year Sales'!N20</x:f>
        <x:v>40000</x:v>
      </x:c>
      <x:c r="O7" s="40" t="n">
        <x:f>'02 Prior Year Sales'!O20</x:f>
        <x:v>38500</x:v>
      </x:c>
      <x:c r="P7" s="40" t="n">
        <x:f>SUM(D7:O7)</x:f>
        <x:v>528500</x:v>
      </x:c>
    </x:row>
    <x:row r="8">
      <x:c r="B8" s="27" t="str">
        <x:v>Direct delivery costs</x:v>
      </x:c>
      <x:c r="C8" s="27" t="str">
        <x:v>Variable and program specific</x:v>
      </x:c>
      <x:c r="D8" s="40" t="n">
        <x:f>-D7*0.4</x:f>
        <x:v>-17800</x:v>
      </x:c>
      <x:c r="E8" s="40" t="n">
        <x:f>-E7*0.41</x:f>
        <x:v>-20705</x:v>
      </x:c>
      <x:c r="F8" s="40" t="n">
        <x:f>-F7*0.39</x:f>
        <x:v>-17745</x:v>
      </x:c>
      <x:c r="G8" s="40" t="n">
        <x:f>-G7*0.42</x:f>
        <x:v>-26670</x:v>
      </x:c>
      <x:c r="H8" s="40" t="n">
        <x:f>-H7*0.41</x:f>
        <x:v>-17630</x:v>
      </x:c>
      <x:c r="I8" s="40" t="n">
        <x:f>-I7*0.4</x:f>
        <x:v>-11600</x:v>
      </x:c>
      <x:c r="J8" s="40" t="n">
        <x:f>-J7*0.43</x:f>
        <x:v>-6450</x:v>
      </x:c>
      <x:c r="K8" s="40" t="n">
        <x:f>-K7*0.42</x:f>
        <x:v>-13860</x:v>
      </x:c>
      <x:c r="L8" s="40" t="n">
        <x:f>-L7*0.39</x:f>
        <x:v>-23595</x:v>
      </x:c>
      <x:c r="M8" s="40" t="n">
        <x:f>-M7*0.4</x:f>
        <x:v>-26200</x:v>
      </x:c>
      <x:c r="N8" s="40" t="n">
        <x:f>-N7*0.41</x:f>
        <x:v>-16400</x:v>
      </x:c>
      <x:c r="O8" s="40" t="n">
        <x:f>-O7*0.4</x:f>
        <x:v>-15400</x:v>
      </x:c>
      <x:c r="P8" s="40" t="n">
        <x:f>SUM(D8:O8)</x:f>
        <x:v>-214055</x:v>
      </x:c>
    </x:row>
    <x:row r="9">
      <x:c r="B9" s="59" t="str">
        <x:v>Contribution</x:v>
      </x:c>
      <x:c r="C9" s="59" t="str"/>
      <x:c r="D9" s="60" t="n">
        <x:f>SUM(D7:D8)</x:f>
        <x:v>26700</x:v>
      </x:c>
      <x:c r="E9" s="60" t="n">
        <x:f>SUM(E7:E8)</x:f>
        <x:v>29795</x:v>
      </x:c>
      <x:c r="F9" s="60" t="n">
        <x:f>SUM(F7:F8)</x:f>
        <x:v>27755</x:v>
      </x:c>
      <x:c r="G9" s="60" t="n">
        <x:f>SUM(G7:G8)</x:f>
        <x:v>36830</x:v>
      </x:c>
      <x:c r="H9" s="60" t="n">
        <x:f>SUM(H7:H8)</x:f>
        <x:v>25370</x:v>
      </x:c>
      <x:c r="I9" s="60" t="n">
        <x:f>SUM(I7:I8)</x:f>
        <x:v>17400</x:v>
      </x:c>
      <x:c r="J9" s="60" t="n">
        <x:f>SUM(J7:J8)</x:f>
        <x:v>8550</x:v>
      </x:c>
      <x:c r="K9" s="60" t="n">
        <x:f>SUM(K7:K8)</x:f>
        <x:v>19140</x:v>
      </x:c>
      <x:c r="L9" s="60" t="n">
        <x:f>SUM(L7:L8)</x:f>
        <x:v>36905</x:v>
      </x:c>
      <x:c r="M9" s="60" t="n">
        <x:f>SUM(M7:M8)</x:f>
        <x:v>39300</x:v>
      </x:c>
      <x:c r="N9" s="60" t="n">
        <x:f>SUM(N7:N8)</x:f>
        <x:v>23600</x:v>
      </x:c>
      <x:c r="O9" s="60" t="n">
        <x:f>SUM(O7:O8)</x:f>
        <x:v>23100</x:v>
      </x:c>
      <x:c r="P9" s="60" t="n">
        <x:f>SUM(D9:O9)</x:f>
        <x:v>314445</x:v>
      </x:c>
    </x:row>
    <x:row r="10">
      <x:c r="B10" s="59" t="str">
        <x:v>Contribution margin</x:v>
      </x:c>
      <x:c r="C10" s="59" t="str"/>
      <x:c r="D10" s="61" t="n">
        <x:f>D9/D7</x:f>
        <x:v>0.6</x:v>
      </x:c>
      <x:c r="E10" s="61" t="n">
        <x:f>E9/E7</x:f>
        <x:v>0.59</x:v>
      </x:c>
      <x:c r="F10" s="61" t="n">
        <x:f>F9/F7</x:f>
        <x:v>0.61</x:v>
      </x:c>
      <x:c r="G10" s="61" t="n">
        <x:f>G9/G7</x:f>
        <x:v>0.58</x:v>
      </x:c>
      <x:c r="H10" s="61" t="n">
        <x:f>H9/H7</x:f>
        <x:v>0.59</x:v>
      </x:c>
      <x:c r="I10" s="61" t="n">
        <x:f>I9/I7</x:f>
        <x:v>0.6</x:v>
      </x:c>
      <x:c r="J10" s="61" t="n">
        <x:f>J9/J7</x:f>
        <x:v>0.57</x:v>
      </x:c>
      <x:c r="K10" s="61" t="n">
        <x:f>K9/K7</x:f>
        <x:v>0.58</x:v>
      </x:c>
      <x:c r="L10" s="61" t="n">
        <x:f>L9/L7</x:f>
        <x:v>0.61</x:v>
      </x:c>
      <x:c r="M10" s="61" t="n">
        <x:f>M9/M7</x:f>
        <x:v>0.6</x:v>
      </x:c>
      <x:c r="N10" s="61" t="n">
        <x:f>N9/N7</x:f>
        <x:v>0.59</x:v>
      </x:c>
      <x:c r="O10" s="61" t="n">
        <x:f>O9/O7</x:f>
        <x:v>0.6</x:v>
      </x:c>
      <x:c r="P10" s="61" t="n">
        <x:f>P9/P7</x:f>
        <x:v>0.5949763481551561</x:v>
      </x:c>
    </x:row>
    <x:row r="11">
      <x:c r="B11" s="27" t="str">
        <x:v>Personnel costs</x:v>
      </x:c>
      <x:c r="C11" s="27" t="str">
        <x:v>Operating expense</x:v>
      </x:c>
      <x:c r="D11" s="40" t="n">
        <x:v>-15000</x:v>
      </x:c>
      <x:c r="E11" s="40" t="n">
        <x:v>-15000</x:v>
      </x:c>
      <x:c r="F11" s="40" t="n">
        <x:v>-15000</x:v>
      </x:c>
      <x:c r="G11" s="40" t="n">
        <x:v>-15000</x:v>
      </x:c>
      <x:c r="H11" s="40" t="n">
        <x:v>-15000</x:v>
      </x:c>
      <x:c r="I11" s="40" t="n">
        <x:v>-15000</x:v>
      </x:c>
      <x:c r="J11" s="40" t="n">
        <x:v>-15000</x:v>
      </x:c>
      <x:c r="K11" s="40" t="n">
        <x:v>-15000</x:v>
      </x:c>
      <x:c r="L11" s="40" t="n">
        <x:v>-15000</x:v>
      </x:c>
      <x:c r="M11" s="40" t="n">
        <x:v>-15000</x:v>
      </x:c>
      <x:c r="N11" s="40" t="n">
        <x:v>-15000</x:v>
      </x:c>
      <x:c r="O11" s="40" t="n">
        <x:v>-15000</x:v>
      </x:c>
      <x:c r="P11" s="40" t="n">
        <x:f>SUM(D11:O11)</x:f>
        <x:v>-180000</x:v>
      </x:c>
    </x:row>
    <x:row r="12">
      <x:c r="B12" s="27" t="str">
        <x:v>Marketing</x:v>
      </x:c>
      <x:c r="C12" s="27" t="str">
        <x:v>Operating expense</x:v>
      </x:c>
      <x:c r="D12" s="40" t="n">
        <x:v>-6000</x:v>
      </x:c>
      <x:c r="E12" s="40" t="n">
        <x:v>-5000</x:v>
      </x:c>
      <x:c r="F12" s="40" t="n">
        <x:v>-6500</x:v>
      </x:c>
      <x:c r="G12" s="40" t="n">
        <x:v>-6500</x:v>
      </x:c>
      <x:c r="H12" s="40" t="n">
        <x:v>-5000</x:v>
      </x:c>
      <x:c r="I12" s="40" t="n">
        <x:v>-4000</x:v>
      </x:c>
      <x:c r="J12" s="40" t="n">
        <x:v>-2500</x:v>
      </x:c>
      <x:c r="K12" s="40" t="n">
        <x:v>-3500</x:v>
      </x:c>
      <x:c r="L12" s="40" t="n">
        <x:v>-7500</x:v>
      </x:c>
      <x:c r="M12" s="40" t="n">
        <x:v>-8000</x:v>
      </x:c>
      <x:c r="N12" s="40" t="n">
        <x:v>-6500</x:v>
      </x:c>
      <x:c r="O12" s="40" t="n">
        <x:v>-4500</x:v>
      </x:c>
      <x:c r="P12" s="40" t="n">
        <x:f>SUM(D12:O12)</x:f>
        <x:v>-65500</x:v>
      </x:c>
    </x:row>
    <x:row r="13">
      <x:c r="B13" s="27" t="str">
        <x:v>Office and administration</x:v>
      </x:c>
      <x:c r="C13" s="27" t="str">
        <x:v>Operating expense</x:v>
      </x:c>
      <x:c r="D13" s="40" t="n">
        <x:v>-6000</x:v>
      </x:c>
      <x:c r="E13" s="40" t="n">
        <x:v>-6000</x:v>
      </x:c>
      <x:c r="F13" s="40" t="n">
        <x:v>-6000</x:v>
      </x:c>
      <x:c r="G13" s="40" t="n">
        <x:v>-6000</x:v>
      </x:c>
      <x:c r="H13" s="40" t="n">
        <x:v>-6000</x:v>
      </x:c>
      <x:c r="I13" s="40" t="n">
        <x:v>-6000</x:v>
      </x:c>
      <x:c r="J13" s="40" t="n">
        <x:v>-6000</x:v>
      </x:c>
      <x:c r="K13" s="40" t="n">
        <x:v>-6000</x:v>
      </x:c>
      <x:c r="L13" s="40" t="n">
        <x:v>-6000</x:v>
      </x:c>
      <x:c r="M13" s="40" t="n">
        <x:v>-6000</x:v>
      </x:c>
      <x:c r="N13" s="40" t="n">
        <x:v>-6000</x:v>
      </x:c>
      <x:c r="O13" s="40" t="n">
        <x:v>-6000</x:v>
      </x:c>
      <x:c r="P13" s="40" t="n">
        <x:f>SUM(D13:O13)</x:f>
        <x:v>-72000</x:v>
      </x:c>
    </x:row>
    <x:row r="14">
      <x:c r="B14" s="27" t="str">
        <x:v>Depreciation and interest</x:v>
      </x:c>
      <x:c r="C14" s="27" t="str">
        <x:v>Operating expense</x:v>
      </x:c>
      <x:c r="D14" s="40" t="n">
        <x:v>-1050</x:v>
      </x:c>
      <x:c r="E14" s="40" t="n">
        <x:v>-1050</x:v>
      </x:c>
      <x:c r="F14" s="40" t="n">
        <x:v>-1050</x:v>
      </x:c>
      <x:c r="G14" s="40" t="n">
        <x:v>-1050</x:v>
      </x:c>
      <x:c r="H14" s="40" t="n">
        <x:v>-1050</x:v>
      </x:c>
      <x:c r="I14" s="40" t="n">
        <x:v>-1050</x:v>
      </x:c>
      <x:c r="J14" s="40" t="n">
        <x:v>-1050</x:v>
      </x:c>
      <x:c r="K14" s="40" t="n">
        <x:v>-1050</x:v>
      </x:c>
      <x:c r="L14" s="40" t="n">
        <x:v>-1050</x:v>
      </x:c>
      <x:c r="M14" s="40" t="n">
        <x:v>-1050</x:v>
      </x:c>
      <x:c r="N14" s="40" t="n">
        <x:v>-1050</x:v>
      </x:c>
      <x:c r="O14" s="40" t="n">
        <x:v>-1050</x:v>
      </x:c>
      <x:c r="P14" s="40" t="n">
        <x:f>SUM(D14:O14)</x:f>
        <x:v>-12600</x:v>
      </x:c>
    </x:row>
    <x:row r="15">
      <x:c r="B15" s="62" t="str">
        <x:v>Operating profit</x:v>
      </x:c>
      <x:c r="C15" s="62" t="str"/>
      <x:c r="D15" s="63" t="n">
        <x:f>SUM(D9,D11:D14)</x:f>
        <x:v>-1350</x:v>
      </x:c>
      <x:c r="E15" s="63" t="n">
        <x:f>SUM(E9,E11:E14)</x:f>
        <x:v>2745</x:v>
      </x:c>
      <x:c r="F15" s="63" t="n">
        <x:f>SUM(F9,F11:F14)</x:f>
        <x:v>-795</x:v>
      </x:c>
      <x:c r="G15" s="63" t="n">
        <x:f>SUM(G9,G11:G14)</x:f>
        <x:v>8280</x:v>
      </x:c>
      <x:c r="H15" s="63" t="n">
        <x:f>SUM(H9,H11:H14)</x:f>
        <x:v>-1680</x:v>
      </x:c>
      <x:c r="I15" s="63" t="n">
        <x:f>SUM(I9,I11:I14)</x:f>
        <x:v>-8650</x:v>
      </x:c>
      <x:c r="J15" s="63" t="n">
        <x:f>SUM(J9,J11:J14)</x:f>
        <x:v>-16000</x:v>
      </x:c>
      <x:c r="K15" s="63" t="n">
        <x:f>SUM(K9,K11:K14)</x:f>
        <x:v>-6410</x:v>
      </x:c>
      <x:c r="L15" s="63" t="n">
        <x:f>SUM(L9,L11:L14)</x:f>
        <x:v>7355</x:v>
      </x:c>
      <x:c r="M15" s="63" t="n">
        <x:f>SUM(M9,M11:M14)</x:f>
        <x:v>9250</x:v>
      </x:c>
      <x:c r="N15" s="63" t="n">
        <x:f>SUM(N9,N11:N14)</x:f>
        <x:v>-4950</x:v>
      </x:c>
      <x:c r="O15" s="63" t="n">
        <x:f>SUM(O9,O11:O14)</x:f>
        <x:v>-3450</x:v>
      </x:c>
      <x:c r="P15" s="63" t="n">
        <x:f>SUM(D15:O15)</x:f>
        <x:v>-15655</x:v>
      </x:c>
    </x:row>
    <x:row r="16">
      <x:c r="B16" s="62" t="str">
        <x:v>Operating margin</x:v>
      </x:c>
      <x:c r="C16" s="62" t="str"/>
      <x:c r="D16" s="64" t="n">
        <x:f>D15/D7</x:f>
        <x:v>-0.030337078651685393</x:v>
      </x:c>
      <x:c r="E16" s="64" t="n">
        <x:f>E15/E7</x:f>
        <x:v>0.054356435643564356</x:v>
      </x:c>
      <x:c r="F16" s="64" t="n">
        <x:f>F15/F7</x:f>
        <x:v>-0.017472527472527474</x:v>
      </x:c>
      <x:c r="G16" s="64" t="n">
        <x:f>G15/G7</x:f>
        <x:v>0.13039370078740156</x:v>
      </x:c>
      <x:c r="H16" s="64" t="n">
        <x:f>H15/H7</x:f>
        <x:v>-0.03906976744186046</x:v>
      </x:c>
      <x:c r="I16" s="64" t="n">
        <x:f>I15/I7</x:f>
        <x:v>-0.2982758620689655</x:v>
      </x:c>
      <x:c r="J16" s="64" t="n">
        <x:f>J15/J7</x:f>
        <x:v>-1.0666666666666667</x:v>
      </x:c>
      <x:c r="K16" s="64" t="n">
        <x:f>K15/K7</x:f>
        <x:v>-0.19424242424242424</x:v>
      </x:c>
      <x:c r="L16" s="64" t="n">
        <x:f>L15/L7</x:f>
        <x:v>0.1215702479338843</x:v>
      </x:c>
      <x:c r="M16" s="64" t="n">
        <x:f>M15/M7</x:f>
        <x:v>0.14122137404580154</x:v>
      </x:c>
      <x:c r="N16" s="64" t="n">
        <x:f>N15/N7</x:f>
        <x:v>-0.12375</x:v>
      </x:c>
      <x:c r="O16" s="64" t="n">
        <x:f>O15/O7</x:f>
        <x:v>-0.08961038961038961</x:v>
      </x:c>
      <x:c r="P16" s="64" t="n">
        <x:f>P15/P7</x:f>
        <x:v>-0.029621570482497635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Sales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revenue by salesperson and product.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12000</x:v>
      </x:c>
      <x:c r="E7" s="40" t="n">
        <x:v>7500</x:v>
      </x:c>
      <x:c r="F7" s="40" t="n">
        <x:v>10000</x:v>
      </x:c>
      <x:c r="G7" s="40" t="n">
        <x:v>12500</x:v>
      </x:c>
      <x:c r="H7" s="40" t="n">
        <x:v>7500</x:v>
      </x:c>
      <x:c r="I7" s="40" t="n">
        <x:v>5000</x:v>
      </x:c>
      <x:c r="J7" s="40" t="n">
        <x:v>2500</x:v>
      </x:c>
      <x:c r="K7" s="40" t="n">
        <x:v>5000</x:v>
      </x:c>
      <x:c r="L7" s="40" t="n">
        <x:v>12500</x:v>
      </x:c>
      <x:c r="M7" s="40" t="n">
        <x:v>15000</x:v>
      </x:c>
      <x:c r="N7" s="40" t="n">
        <x:v>5000</x:v>
      </x:c>
      <x:c r="O7" s="40" t="n">
        <x:v>7500</x:v>
      </x:c>
      <x:c r="P7" s="40" t="n">
        <x:f>SUM(D7:O7)</x:f>
        <x:v>102000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2500</x:v>
      </x:c>
      <x:c r="F8" s="40" t="n">
        <x:v>5000</x:v>
      </x:c>
      <x:c r="G8" s="40" t="n">
        <x:v>5000</x:v>
      </x:c>
      <x:c r="H8" s="40" t="n">
        <x:v>2500</x:v>
      </x:c>
      <x:c r="I8" s="40" t="n">
        <x:v>2500</x:v>
      </x:c>
      <x:c r="J8" s="40" t="n">
        <x:v>0</x:v>
      </x:c>
      <x:c r="K8" s="40" t="n">
        <x:v>2500</x:v>
      </x:c>
      <x:c r="L8" s="40" t="n">
        <x:v>2500</x:v>
      </x:c>
      <x:c r="M8" s="40" t="n">
        <x:v>5000</x:v>
      </x:c>
      <x:c r="N8" s="40" t="n">
        <x:v>2500</x:v>
      </x:c>
      <x:c r="O8" s="40" t="n">
        <x:v>2500</x:v>
      </x:c>
      <x:c r="P8" s="40" t="n">
        <x:f>SUM(D8:O8)</x:f>
        <x:v>35000</x:v>
      </x:c>
    </x:row>
    <x:row r="9">
      <x:c r="B9" s="27" t="str">
        <x:v>Anna Power</x:v>
      </x:c>
      <x:c r="C9" s="27" t="str">
        <x:v>Open program seats</x:v>
      </x:c>
      <x:c r="D9" s="40" t="n">
        <x:v>1000</x:v>
      </x:c>
      <x:c r="E9" s="40" t="n">
        <x:v>1500</x:v>
      </x:c>
      <x:c r="F9" s="40" t="n">
        <x:v>1500</x:v>
      </x:c>
      <x:c r="G9" s="40" t="n">
        <x:v>2000</x:v>
      </x:c>
      <x:c r="H9" s="40" t="n">
        <x:v>1500</x:v>
      </x:c>
      <x:c r="I9" s="40" t="n">
        <x:v>1000</x:v>
      </x:c>
      <x:c r="J9" s="40" t="n">
        <x:v>500</x:v>
      </x:c>
      <x:c r="K9" s="40" t="n">
        <x:v>1000</x:v>
      </x:c>
      <x:c r="L9" s="40" t="n">
        <x:v>2000</x:v>
      </x:c>
      <x:c r="M9" s="40" t="n">
        <x:v>2500</x:v>
      </x:c>
      <x:c r="N9" s="40" t="n">
        <x:v>1500</x:v>
      </x:c>
      <x:c r="O9" s="40" t="n">
        <x:v>1500</x:v>
      </x:c>
      <x:c r="P9" s="40" t="n">
        <x:f>SUM(D9:O9)</x:f>
        <x:v>17500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2500</x:v>
      </x:c>
      <x:c r="G10" s="40" t="n">
        <x:v>5000</x:v>
      </x:c>
      <x:c r="H10" s="40" t="n">
        <x:v>2500</x:v>
      </x:c>
      <x:c r="I10" s="40" t="n">
        <x:v>2500</x:v>
      </x:c>
      <x:c r="J10" s="40" t="n">
        <x:v>2500</x:v>
      </x:c>
      <x:c r="K10" s="40" t="n">
        <x:v>2500</x:v>
      </x:c>
      <x:c r="L10" s="40" t="n">
        <x:v>5000</x:v>
      </x:c>
      <x:c r="M10" s="40" t="n">
        <x:v>2500</x:v>
      </x:c>
      <x:c r="N10" s="40" t="n">
        <x:v>2500</x:v>
      </x:c>
      <x:c r="O10" s="40" t="n">
        <x:v>2500</x:v>
      </x:c>
      <x:c r="P10" s="40" t="n">
        <x:f>SUM(D10:O10)</x:f>
        <x:v>35000</x:v>
      </x:c>
    </x:row>
    <x:row r="11">
      <x:c r="B11" s="27" t="str">
        <x:v>Mark Pressure</x:v>
      </x:c>
      <x:c r="C11" s="27" t="str">
        <x:v>Corporate sales training</x:v>
      </x:c>
      <x:c r="D11" s="40" t="n">
        <x:v>10000</x:v>
      </x:c>
      <x:c r="E11" s="40" t="n">
        <x:v>12500</x:v>
      </x:c>
      <x:c r="F11" s="40" t="n">
        <x:v>7500</x:v>
      </x:c>
      <x:c r="G11" s="40" t="n">
        <x:v>12500</x:v>
      </x:c>
      <x:c r="H11" s="40" t="n">
        <x:v>10000</x:v>
      </x:c>
      <x:c r="I11" s="40" t="n">
        <x:v>7500</x:v>
      </x:c>
      <x:c r="J11" s="40" t="n">
        <x:v>5000</x:v>
      </x:c>
      <x:c r="K11" s="40" t="n">
        <x:v>7500</x:v>
      </x:c>
      <x:c r="L11" s="40" t="n">
        <x:v>12500</x:v>
      </x:c>
      <x:c r="M11" s="40" t="n">
        <x:v>12500</x:v>
      </x:c>
      <x:c r="N11" s="40" t="n">
        <x:v>10000</x:v>
      </x:c>
      <x:c r="O11" s="40" t="n">
        <x:v>7500</x:v>
      </x:c>
      <x:c r="P11" s="40" t="n">
        <x:f>SUM(D11:O11)</x:f>
        <x:v>115000</x:v>
      </x:c>
    </x:row>
    <x:row r="12">
      <x:c r="B12" s="27" t="str">
        <x:v>Mark Pressure</x:v>
      </x:c>
      <x:c r="C12" s="27" t="str">
        <x:v>Open program seats</x:v>
      </x:c>
      <x:c r="D12" s="40" t="n">
        <x:v>1500</x:v>
      </x:c>
      <x:c r="E12" s="40" t="n">
        <x:v>2000</x:v>
      </x:c>
      <x:c r="F12" s="40" t="n">
        <x:v>1500</x:v>
      </x:c>
      <x:c r="G12" s="40" t="n">
        <x:v>2500</x:v>
      </x:c>
      <x:c r="H12" s="40" t="n">
        <x:v>2000</x:v>
      </x:c>
      <x:c r="I12" s="40" t="n">
        <x:v>1500</x:v>
      </x:c>
      <x:c r="J12" s="40" t="n">
        <x:v>500</x:v>
      </x:c>
      <x:c r="K12" s="40" t="n">
        <x:v>1000</x:v>
      </x:c>
      <x:c r="L12" s="40" t="n">
        <x:v>2500</x:v>
      </x:c>
      <x:c r="M12" s="40" t="n">
        <x:v>3000</x:v>
      </x:c>
      <x:c r="N12" s="40" t="n">
        <x:v>2000</x:v>
      </x:c>
      <x:c r="O12" s="40" t="n">
        <x:v>1500</x:v>
      </x:c>
      <x:c r="P12" s="40" t="n">
        <x:f>SUM(D12:O12)</x:f>
        <x:v>21500</x:v>
      </x:c>
    </x:row>
    <x:row r="13">
      <x:c r="B13" s="27" t="str">
        <x:v>Linda Smile</x:v>
      </x:c>
      <x:c r="C13" s="27" t="str">
        <x:v>Corporate management training</x:v>
      </x:c>
      <x:c r="D13" s="40" t="n">
        <x:v>2500</x:v>
      </x:c>
      <x:c r="E13" s="40" t="n">
        <x:v>5000</x:v>
      </x:c>
      <x:c r="F13" s="40" t="n">
        <x:v>2500</x:v>
      </x:c>
      <x:c r="G13" s="40" t="n">
        <x:v>5000</x:v>
      </x:c>
      <x:c r="H13" s="40" t="n">
        <x:v>2500</x:v>
      </x:c>
      <x:c r="I13" s="40" t="n">
        <x:v>2500</x:v>
      </x:c>
      <x:c r="J13" s="40" t="n">
        <x:v>0</x:v>
      </x:c>
      <x:c r="K13" s="40" t="n">
        <x:v>2500</x:v>
      </x:c>
      <x:c r="L13" s="40" t="n">
        <x:v>5000</x:v>
      </x:c>
      <x:c r="M13" s="40" t="n">
        <x:v>5000</x:v>
      </x:c>
      <x:c r="N13" s="40" t="n">
        <x:v>2500</x:v>
      </x:c>
      <x:c r="O13" s="40" t="n">
        <x:v>2500</x:v>
      </x:c>
      <x:c r="P13" s="40" t="n">
        <x:f>SUM(D13:O13)</x:f>
        <x:v>37500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2500</x:v>
      </x:c>
      <x:c r="F14" s="40" t="n">
        <x:v>5000</x:v>
      </x:c>
      <x:c r="G14" s="40" t="n">
        <x:v>2500</x:v>
      </x:c>
      <x:c r="H14" s="40" t="n">
        <x:v>2500</x:v>
      </x:c>
      <x:c r="I14" s="40" t="n">
        <x:v>0</x:v>
      </x:c>
      <x:c r="J14" s="40" t="n">
        <x:v>2500</x:v>
      </x:c>
      <x:c r="K14" s="40" t="n">
        <x:v>2500</x:v>
      </x:c>
      <x:c r="L14" s="40" t="n">
        <x:v>2500</x:v>
      </x:c>
      <x:c r="M14" s="40" t="n">
        <x:v>5000</x:v>
      </x:c>
      <x:c r="N14" s="40" t="n">
        <x:v>2500</x:v>
      </x:c>
      <x:c r="O14" s="40" t="n">
        <x:v>2500</x:v>
      </x:c>
      <x:c r="P14" s="40" t="n">
        <x:f>SUM(D14:O14)</x:f>
        <x:v>32500</x:v>
      </x:c>
    </x:row>
    <x:row r="15">
      <x:c r="B15" s="27" t="str">
        <x:v>Linda Smile</x:v>
      </x:c>
      <x:c r="C15" s="27" t="str">
        <x:v>Open program seats</x:v>
      </x:c>
      <x:c r="D15" s="40" t="n">
        <x:v>3000</x:v>
      </x:c>
      <x:c r="E15" s="40" t="n">
        <x:v>4500</x:v>
      </x:c>
      <x:c r="F15" s="40" t="n">
        <x:v>3000</x:v>
      </x:c>
      <x:c r="G15" s="40" t="n">
        <x:v>6000</x:v>
      </x:c>
      <x:c r="H15" s="40" t="n">
        <x:v>4500</x:v>
      </x:c>
      <x:c r="I15" s="40" t="n">
        <x:v>2500</x:v>
      </x:c>
      <x:c r="J15" s="40" t="n">
        <x:v>1000</x:v>
      </x:c>
      <x:c r="K15" s="40" t="n">
        <x:v>2000</x:v>
      </x:c>
      <x:c r="L15" s="40" t="n">
        <x:v>5500</x:v>
      </x:c>
      <x:c r="M15" s="40" t="n">
        <x:v>6500</x:v>
      </x:c>
      <x:c r="N15" s="40" t="n">
        <x:v>4000</x:v>
      </x:c>
      <x:c r="O15" s="40" t="n">
        <x:v>3500</x:v>
      </x:c>
      <x:c r="P15" s="40" t="n">
        <x:f>SUM(D15:O15)</x:f>
        <x:v>46000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2500</x:v>
      </x:c>
      <x:c r="G16" s="40" t="n">
        <x:v>2500</x:v>
      </x:c>
      <x:c r="H16" s="40" t="n">
        <x:v>2500</x:v>
      </x:c>
      <x:c r="I16" s="40" t="n">
        <x:v>0</x:v>
      </x:c>
      <x:c r="J16" s="40" t="n">
        <x:v>0</x:v>
      </x:c>
      <x:c r="K16" s="40" t="n">
        <x:v>2500</x:v>
      </x:c>
      <x:c r="L16" s="40" t="n">
        <x:v>2500</x:v>
      </x:c>
      <x:c r="M16" s="40" t="n">
        <x:v>2500</x:v>
      </x:c>
      <x:c r="N16" s="40" t="n">
        <x:v>2500</x:v>
      </x:c>
      <x:c r="O16" s="40" t="n">
        <x:v>2500</x:v>
      </x:c>
      <x:c r="P16" s="40" t="n">
        <x:f>SUM(D16:O16)</x:f>
        <x:v>25000</x:v>
      </x:c>
    </x:row>
    <x:row r="17">
      <x:c r="B17" s="27" t="str">
        <x:v>Peter Late</x:v>
      </x:c>
      <x:c r="C17" s="27" t="str">
        <x:v>Corporate sales training</x:v>
      </x:c>
      <x:c r="D17" s="40" t="n">
        <x:v>2500</x:v>
      </x:c>
      <x:c r="E17" s="40" t="n">
        <x:v>5000</x:v>
      </x:c>
      <x:c r="F17" s="40" t="n">
        <x:v>2500</x:v>
      </x:c>
      <x:c r="G17" s="40" t="n">
        <x:v>5000</x:v>
      </x:c>
      <x:c r="H17" s="40" t="n">
        <x:v>2500</x:v>
      </x:c>
      <x:c r="I17" s="40" t="n">
        <x:v>2500</x:v>
      </x:c>
      <x:c r="J17" s="40" t="n">
        <x:v>0</x:v>
      </x:c>
      <x:c r="K17" s="40" t="n">
        <x:v>2500</x:v>
      </x:c>
      <x:c r="L17" s="40" t="n">
        <x:v>5000</x:v>
      </x:c>
      <x:c r="M17" s="40" t="n">
        <x:v>2500</x:v>
      </x:c>
      <x:c r="N17" s="40" t="n">
        <x:v>2500</x:v>
      </x:c>
      <x:c r="O17" s="40" t="n">
        <x:v>2500</x:v>
      </x:c>
      <x:c r="P17" s="40" t="n">
        <x:f>SUM(D17:O17)</x:f>
        <x:v>35000</x:v>
      </x:c>
    </x:row>
    <x:row r="18">
      <x:c r="B18" s="27" t="str">
        <x:v>Peter Late</x:v>
      </x:c>
      <x:c r="C18" s="27" t="str">
        <x:v>Open program seats</x:v>
      </x:c>
      <x:c r="D18" s="40" t="n">
        <x:v>2000</x:v>
      </x:c>
      <x:c r="E18" s="40" t="n">
        <x:v>2500</x:v>
      </x:c>
      <x:c r="F18" s="40" t="n">
        <x:v>2000</x:v>
      </x:c>
      <x:c r="G18" s="40" t="n">
        <x:v>3000</x:v>
      </x:c>
      <x:c r="H18" s="40" t="n">
        <x:v>2500</x:v>
      </x:c>
      <x:c r="I18" s="40" t="n">
        <x:v>1500</x:v>
      </x:c>
      <x:c r="J18" s="40" t="n">
        <x:v>500</x:v>
      </x:c>
      <x:c r="K18" s="40" t="n">
        <x:v>1500</x:v>
      </x:c>
      <x:c r="L18" s="40" t="n">
        <x:v>3000</x:v>
      </x:c>
      <x:c r="M18" s="40" t="n">
        <x:v>3500</x:v>
      </x:c>
      <x:c r="N18" s="40" t="n">
        <x:v>2500</x:v>
      </x:c>
      <x:c r="O18" s="40" t="n">
        <x:v>2000</x:v>
      </x:c>
      <x:c r="P18" s="40" t="n">
        <x:f>SUM(D18:O18)</x:f>
        <x:v>26500</x:v>
      </x:c>
    </x:row>
    <x:row r="19">
      <x:c r="B19" s="27"/>
      <x:c r="C19" s="27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</x:row>
    <x:row r="20">
      <x:c r="B20" s="41" t="str">
        <x:v>TOTAL</x:v>
      </x:c>
      <x:c r="C20" s="41" t="str">
        <x:v>All products</x:v>
      </x:c>
      <x:c r="D20" s="42" t="n">
        <x:f>SUM(D7:D18)</x:f>
        <x:v>44500</x:v>
      </x:c>
      <x:c r="E20" s="42" t="n">
        <x:f>SUM(E7:E18)</x:f>
        <x:v>50500</x:v>
      </x:c>
      <x:c r="F20" s="42" t="n">
        <x:f>SUM(F7:F18)</x:f>
        <x:v>45500</x:v>
      </x:c>
      <x:c r="G20" s="42" t="n">
        <x:f>SUM(G7:G18)</x:f>
        <x:v>63500</x:v>
      </x:c>
      <x:c r="H20" s="42" t="n">
        <x:f>SUM(H7:H18)</x:f>
        <x:v>43000</x:v>
      </x:c>
      <x:c r="I20" s="42" t="n">
        <x:f>SUM(I7:I18)</x:f>
        <x:v>29000</x:v>
      </x:c>
      <x:c r="J20" s="42" t="n">
        <x:f>SUM(J7:J18)</x:f>
        <x:v>15000</x:v>
      </x:c>
      <x:c r="K20" s="42" t="n">
        <x:f>SUM(K7:K18)</x:f>
        <x:v>33000</x:v>
      </x:c>
      <x:c r="L20" s="42" t="n">
        <x:f>SUM(L7:L18)</x:f>
        <x:v>60500</x:v>
      </x:c>
      <x:c r="M20" s="42" t="n">
        <x:f>SUM(M7:M18)</x:f>
        <x:v>65500</x:v>
      </x:c>
      <x:c r="N20" s="42" t="n">
        <x:f>SUM(N7:N18)</x:f>
        <x:v>40000</x:v>
      </x:c>
      <x:c r="O20" s="42" t="n">
        <x:f>SUM(O7:O18)</x:f>
        <x:v>38500</x:v>
      </x:c>
      <x:c r="P20" s="42" t="n">
        <x:f>SUM(P7:P18)</x:f>
        <x:v>528500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Marketing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activities and commercial results.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Marketing spend</x:v>
      </x:c>
      <x:c r="C7" s="27" t="str">
        <x:v>EUR</x:v>
      </x:c>
      <x:c r="D7" s="40" t="n">
        <x:v>6000</x:v>
      </x:c>
      <x:c r="E7" s="40" t="n">
        <x:v>5000</x:v>
      </x:c>
      <x:c r="F7" s="40" t="n">
        <x:v>6500</x:v>
      </x:c>
      <x:c r="G7" s="40" t="n">
        <x:v>6500</x:v>
      </x:c>
      <x:c r="H7" s="40" t="n">
        <x:v>5000</x:v>
      </x:c>
      <x:c r="I7" s="40" t="n">
        <x:v>4000</x:v>
      </x:c>
      <x:c r="J7" s="40" t="n">
        <x:v>2500</x:v>
      </x:c>
      <x:c r="K7" s="40" t="n">
        <x:v>3500</x:v>
      </x:c>
      <x:c r="L7" s="40" t="n">
        <x:v>7500</x:v>
      </x:c>
      <x:c r="M7" s="40" t="n">
        <x:v>8000</x:v>
      </x:c>
      <x:c r="N7" s="40" t="n">
        <x:v>6500</x:v>
      </x:c>
      <x:c r="O7" s="40" t="n">
        <x:v>4500</x:v>
      </x:c>
      <x:c r="P7" s="40" t="n">
        <x:f>SUM(D7:O7)</x:f>
        <x:v>65500</x:v>
      </x:c>
    </x:row>
    <x:row r="8">
      <x:c r="B8" s="27" t="str">
        <x:v>Campaigns launched</x:v>
      </x:c>
      <x:c r="C8" s="27" t="str">
        <x:v>Count</x:v>
      </x:c>
      <x:c r="D8" s="68" t="n">
        <x:v>3</x:v>
      </x:c>
      <x:c r="E8" s="68" t="n">
        <x:v>2</x:v>
      </x:c>
      <x:c r="F8" s="68" t="n">
        <x:v>3</x:v>
      </x:c>
      <x:c r="G8" s="68" t="n">
        <x:v>3</x:v>
      </x:c>
      <x:c r="H8" s="68" t="n">
        <x:v>2</x:v>
      </x:c>
      <x:c r="I8" s="68" t="n">
        <x:v>2</x:v>
      </x:c>
      <x:c r="J8" s="68" t="n">
        <x:v>1</x:v>
      </x:c>
      <x:c r="K8" s="68" t="n">
        <x:v>2</x:v>
      </x:c>
      <x:c r="L8" s="68" t="n">
        <x:v>4</x:v>
      </x:c>
      <x:c r="M8" s="68" t="n">
        <x:v>4</x:v>
      </x:c>
      <x:c r="N8" s="68" t="n">
        <x:v>3</x:v>
      </x:c>
      <x:c r="O8" s="68" t="n">
        <x:v>2</x:v>
      </x:c>
      <x:c r="P8" s="68" t="n">
        <x:f>SUM(D8:O8)</x:f>
        <x:v>31</x:v>
      </x:c>
    </x:row>
    <x:row r="9">
      <x:c r="B9" s="27" t="str">
        <x:v>Qualified corporate leads</x:v>
      </x:c>
      <x:c r="C9" s="27" t="str">
        <x:v>Count</x:v>
      </x:c>
      <x:c r="D9" s="68" t="n">
        <x:v>24</x:v>
      </x:c>
      <x:c r="E9" s="68" t="n">
        <x:v>20</x:v>
      </x:c>
      <x:c r="F9" s="68" t="n">
        <x:v>27</x:v>
      </x:c>
      <x:c r="G9" s="68" t="n">
        <x:v>29</x:v>
      </x:c>
      <x:c r="H9" s="68" t="n">
        <x:v>23</x:v>
      </x:c>
      <x:c r="I9" s="68" t="n">
        <x:v>18</x:v>
      </x:c>
      <x:c r="J9" s="68" t="n">
        <x:v>10</x:v>
      </x:c>
      <x:c r="K9" s="68" t="n">
        <x:v>15</x:v>
      </x:c>
      <x:c r="L9" s="68" t="n">
        <x:v>34</x:v>
      </x:c>
      <x:c r="M9" s="68" t="n">
        <x:v>38</x:v>
      </x:c>
      <x:c r="N9" s="68" t="n">
        <x:v>30</x:v>
      </x:c>
      <x:c r="O9" s="68" t="n">
        <x:v>20</x:v>
      </x:c>
      <x:c r="P9" s="68" t="n">
        <x:f>SUM(D9:O9)</x:f>
        <x:v>288</x:v>
      </x:c>
    </x:row>
    <x:row r="10">
      <x:c r="B10" s="27" t="str">
        <x:v>Corporate deals won</x:v>
      </x:c>
      <x:c r="C10" s="27" t="str">
        <x:v>Count</x:v>
      </x:c>
      <x:c r="D10" s="68" t="n">
        <x:v>5</x:v>
      </x:c>
      <x:c r="E10" s="68" t="n">
        <x:v>4</x:v>
      </x:c>
      <x:c r="F10" s="68" t="n">
        <x:v>5</x:v>
      </x:c>
      <x:c r="G10" s="68" t="n">
        <x:v>6</x:v>
      </x:c>
      <x:c r="H10" s="68" t="n">
        <x:v>4</x:v>
      </x:c>
      <x:c r="I10" s="68" t="n">
        <x:v>4</x:v>
      </x:c>
      <x:c r="J10" s="68" t="n">
        <x:v>2</x:v>
      </x:c>
      <x:c r="K10" s="68" t="n">
        <x:v>3</x:v>
      </x:c>
      <x:c r="L10" s="68" t="n">
        <x:v>7</x:v>
      </x:c>
      <x:c r="M10" s="68" t="n">
        <x:v>8</x:v>
      </x:c>
      <x:c r="N10" s="68" t="n">
        <x:v>6</x:v>
      </x:c>
      <x:c r="O10" s="68" t="n">
        <x:v>4</x:v>
      </x:c>
      <x:c r="P10" s="68" t="n">
        <x:f>SUM(D10:O10)</x:f>
        <x:v>58</x:v>
      </x:c>
    </x:row>
    <x:row r="11">
      <x:c r="B11" s="27" t="str">
        <x:v>Open program enquiries</x:v>
      </x:c>
      <x:c r="C11" s="27" t="str">
        <x:v>Count</x:v>
      </x:c>
      <x:c r="D11" s="68" t="n">
        <x:v>65</x:v>
      </x:c>
      <x:c r="E11" s="68" t="n">
        <x:v>58</x:v>
      </x:c>
      <x:c r="F11" s="68" t="n">
        <x:v>72</x:v>
      </x:c>
      <x:c r="G11" s="68" t="n">
        <x:v>80</x:v>
      </x:c>
      <x:c r="H11" s="68" t="n">
        <x:v>69</x:v>
      </x:c>
      <x:c r="I11" s="68" t="n">
        <x:v>54</x:v>
      </x:c>
      <x:c r="J11" s="68" t="n">
        <x:v>28</x:v>
      </x:c>
      <x:c r="K11" s="68" t="n">
        <x:v>43</x:v>
      </x:c>
      <x:c r="L11" s="68" t="n">
        <x:v>96</x:v>
      </x:c>
      <x:c r="M11" s="68" t="n">
        <x:v>110</x:v>
      </x:c>
      <x:c r="N11" s="68" t="n">
        <x:v>82</x:v>
      </x:c>
      <x:c r="O11" s="68" t="n">
        <x:v>60</x:v>
      </x:c>
      <x:c r="P11" s="68" t="n">
        <x:f>SUM(D11:O11)</x:f>
        <x:v>817</x:v>
      </x:c>
    </x:row>
    <x:row r="12">
      <x:c r="B12" s="27" t="str">
        <x:v>Open seats sold</x:v>
      </x:c>
      <x:c r="C12" s="27" t="str">
        <x:v>Count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Delivery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program volume and capacity use.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Standard corporate programs</x:v>
      </x:c>
      <x:c r="C7" s="27" t="str">
        <x:v>Count</x:v>
      </x:c>
      <x:c r="D7" s="68" t="n">
        <x:v>4</x:v>
      </x:c>
      <x:c r="E7" s="68" t="n">
        <x:v>3</x:v>
      </x:c>
      <x:c r="F7" s="68" t="n">
        <x:v>4</x:v>
      </x:c>
      <x:c r="G7" s="68" t="n">
        <x:v>5</x:v>
      </x:c>
      <x:c r="H7" s="68" t="n">
        <x:v>3</x:v>
      </x:c>
      <x:c r="I7" s="68" t="n">
        <x:v>3</x:v>
      </x:c>
      <x:c r="J7" s="68" t="n">
        <x:v>1</x:v>
      </x:c>
      <x:c r="K7" s="68" t="n">
        <x:v>2</x:v>
      </x:c>
      <x:c r="L7" s="68" t="n">
        <x:v>5</x:v>
      </x:c>
      <x:c r="M7" s="68" t="n">
        <x:v>6</x:v>
      </x:c>
      <x:c r="N7" s="68" t="n">
        <x:v>4</x:v>
      </x:c>
      <x:c r="O7" s="68" t="n">
        <x:v>3</x:v>
      </x:c>
      <x:c r="P7" s="68" t="n">
        <x:f>SUM(D7:O7)</x:f>
        <x:v>43</x:v>
      </x:c>
    </x:row>
    <x:row r="8">
      <x:c r="B8" s="27" t="str">
        <x:v>Large corporate programs</x:v>
      </x:c>
      <x:c r="C8" s="27" t="str">
        <x:v>Count</x:v>
      </x:c>
      <x:c r="D8" s="68" t="n">
        <x:v>0</x:v>
      </x:c>
      <x:c r="E8" s="68" t="n">
        <x:v>1</x:v>
      </x:c>
      <x:c r="F8" s="68" t="n">
        <x:v>0</x:v>
      </x:c>
      <x:c r="G8" s="68" t="n">
        <x:v>1</x:v>
      </x:c>
      <x:c r="H8" s="68" t="n">
        <x:v>1</x:v>
      </x:c>
      <x:c r="I8" s="68" t="n">
        <x:v>0</x:v>
      </x:c>
      <x:c r="J8" s="68" t="n">
        <x:v>0</x:v>
      </x:c>
      <x:c r="K8" s="68" t="n">
        <x:v>0</x:v>
      </x:c>
      <x:c r="L8" s="68" t="n">
        <x:v>1</x:v>
      </x:c>
      <x:c r="M8" s="68" t="n">
        <x:v>1</x:v>
      </x:c>
      <x:c r="N8" s="68" t="n">
        <x:v>1</x:v>
      </x:c>
      <x:c r="O8" s="68" t="n">
        <x:v>0</x:v>
      </x:c>
      <x:c r="P8" s="68" t="n">
        <x:f>SUM(D8:O8)</x:f>
        <x:v>6</x:v>
      </x:c>
    </x:row>
    <x:row r="9">
      <x:c r="B9" s="27" t="str">
        <x:v>Open programs delivered</x:v>
      </x:c>
      <x:c r="C9" s="27" t="str">
        <x:v>Count</x:v>
      </x:c>
      <x:c r="D9" s="68" t="n">
        <x:v>1</x:v>
      </x:c>
      <x:c r="E9" s="68" t="n">
        <x:v>1</x:v>
      </x:c>
      <x:c r="F9" s="68" t="n">
        <x:v>1</x:v>
      </x:c>
      <x:c r="G9" s="68" t="n">
        <x:v>2</x:v>
      </x:c>
      <x:c r="H9" s="68" t="n">
        <x:v>1</x:v>
      </x:c>
      <x:c r="I9" s="68" t="n">
        <x:v>1</x:v>
      </x:c>
      <x:c r="J9" s="68" t="n">
        <x:v>0</x:v>
      </x:c>
      <x:c r="K9" s="68" t="n">
        <x:v>1</x:v>
      </x:c>
      <x:c r="L9" s="68" t="n">
        <x:v>2</x:v>
      </x:c>
      <x:c r="M9" s="68" t="n">
        <x:v>2</x:v>
      </x:c>
      <x:c r="N9" s="68" t="n">
        <x:v>1</x:v>
      </x:c>
      <x:c r="O9" s="68" t="n">
        <x:v>1</x:v>
      </x:c>
      <x:c r="P9" s="68" t="n">
        <x:f>SUM(D9:O9)</x:f>
        <x:v>14</x:v>
      </x:c>
    </x:row>
    <x:row r="10">
      <x:c r="B10" s="27" t="str">
        <x:v>Trainer delivery days</x:v>
      </x:c>
      <x:c r="C10" s="27" t="str">
        <x:v>Days</x:v>
      </x:c>
      <x:c r="D10" s="68" t="n">
        <x:v>8</x:v>
      </x:c>
      <x:c r="E10" s="68" t="n">
        <x:v>8</x:v>
      </x:c>
      <x:c r="F10" s="68" t="n">
        <x:v>8</x:v>
      </x:c>
      <x:c r="G10" s="68" t="n">
        <x:v>13</x:v>
      </x:c>
      <x:c r="H10" s="68" t="n">
        <x:v>9</x:v>
      </x:c>
      <x:c r="I10" s="68" t="n">
        <x:v>7</x:v>
      </x:c>
      <x:c r="J10" s="68" t="n">
        <x:v>2</x:v>
      </x:c>
      <x:c r="K10" s="68" t="n">
        <x:v>5</x:v>
      </x:c>
      <x:c r="L10" s="68" t="n">
        <x:v>14</x:v>
      </x:c>
      <x:c r="M10" s="68" t="n">
        <x:v>16</x:v>
      </x:c>
      <x:c r="N10" s="68" t="n">
        <x:v>11</x:v>
      </x:c>
      <x:c r="O10" s="68" t="n">
        <x:v>7</x:v>
      </x:c>
      <x:c r="P10" s="68" t="n">
        <x:f>SUM(D10:O10)</x:f>
        <x:v>108</x:v>
      </x:c>
    </x:row>
    <x:row r="11">
      <x:c r="B11" s="27" t="str">
        <x:v>Available trainer days</x:v>
      </x:c>
      <x:c r="C11" s="27" t="str">
        <x:v>Days</x:v>
      </x:c>
      <x:c r="D11" s="68" t="n">
        <x:v>15</x:v>
      </x:c>
      <x:c r="E11" s="68" t="n">
        <x:v>15</x:v>
      </x:c>
      <x:c r="F11" s="68" t="n">
        <x:v>17</x:v>
      </x:c>
      <x:c r="G11" s="68" t="n">
        <x:v>16</x:v>
      </x:c>
      <x:c r="H11" s="68" t="n">
        <x:v>17</x:v>
      </x:c>
      <x:c r="I11" s="68" t="n">
        <x:v>15</x:v>
      </x:c>
      <x:c r="J11" s="68" t="n">
        <x:v>10</x:v>
      </x:c>
      <x:c r="K11" s="68" t="n">
        <x:v>12</x:v>
      </x:c>
      <x:c r="L11" s="68" t="n">
        <x:v>18</x:v>
      </x:c>
      <x:c r="M11" s="68" t="n">
        <x:v>18</x:v>
      </x:c>
      <x:c r="N11" s="68" t="n">
        <x:v>16</x:v>
      </x:c>
      <x:c r="O11" s="68" t="n">
        <x:v>12</x:v>
      </x:c>
      <x:c r="P11" s="68" t="n">
        <x:f>SUM(D11:O11)</x:f>
        <x:v>181</x:v>
      </x:c>
    </x:row>
    <x:row r="12">
      <x:c r="B12" s="27" t="str">
        <x:v>Open seats sold</x:v>
      </x:c>
      <x:c r="C12" s="27" t="str">
        <x:v>Seats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  <x:row r="13">
      <x:c r="B13" s="27" t="str">
        <x:v>Average open-program attendance</x:v>
      </x:c>
      <x:c r="C13" s="27" t="str">
        <x:v>Participants</x:v>
      </x:c>
      <x:c r="D13" s="68" t="n">
        <x:v>15</x:v>
      </x:c>
      <x:c r="E13" s="68" t="n">
        <x:v>18</x:v>
      </x:c>
      <x:c r="F13" s="68" t="n">
        <x:v>16</x:v>
      </x:c>
      <x:c r="G13" s="68" t="n">
        <x:v>11</x:v>
      </x:c>
      <x:c r="H13" s="68" t="n">
        <x:v>19</x:v>
      </x:c>
      <x:c r="I13" s="68" t="n">
        <x:v>12</x:v>
      </x:c>
      <x:c r="J13" s="68" t="n">
        <x:v>0</x:v>
      </x:c>
      <x:c r="K13" s="68" t="n">
        <x:v>8</x:v>
      </x:c>
      <x:c r="L13" s="68" t="n">
        <x:v>12</x:v>
      </x:c>
      <x:c r="M13" s="68" t="n">
        <x:v>14</x:v>
      </x:c>
      <x:c r="N13" s="68" t="n">
        <x:v>18</x:v>
      </x:c>
      <x:c r="O13" s="68" t="n">
        <x:v>15</x:v>
      </x:c>
      <x:c r="P13" s="71" t="n">
        <x:f>P12/P9</x:f>
        <x:v>14.142857142857142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Sales Budget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revenue budget supplied by the sales director.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12500</x:v>
      </x:c>
      <x:c r="E7" s="40" t="n">
        <x:v>12500</x:v>
      </x:c>
      <x:c r="F7" s="40" t="n">
        <x:v>12500</x:v>
      </x:c>
      <x:c r="G7" s="40" t="n">
        <x:v>15000</x:v>
      </x:c>
      <x:c r="H7" s="40" t="n">
        <x:v>12500</x:v>
      </x:c>
      <x:c r="I7" s="40" t="n">
        <x:v>12500</x:v>
      </x:c>
      <x:c r="J7" s="40" t="n">
        <x:v>10000</x:v>
      </x:c>
      <x:c r="K7" s="40" t="n">
        <x:v>12500</x:v>
      </x:c>
      <x:c r="L7" s="40" t="n">
        <x:v>15000</x:v>
      </x:c>
      <x:c r="M7" s="40" t="n">
        <x:v>15000</x:v>
      </x:c>
      <x:c r="N7" s="40" t="n">
        <x:v>12500</x:v>
      </x:c>
      <x:c r="O7" s="40" t="n">
        <x:v>12500</x:v>
      </x:c>
      <x:c r="P7" s="40" t="n">
        <x:f>SUM(D7:O7)</x:f>
        <x:v>155000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5000</x:v>
      </x:c>
      <x:c r="F8" s="40" t="n">
        <x:v>5000</x:v>
      </x:c>
      <x:c r="G8" s="40" t="n">
        <x:v>5000</x:v>
      </x:c>
      <x:c r="H8" s="40" t="n">
        <x:v>5000</x:v>
      </x:c>
      <x:c r="I8" s="40" t="n">
        <x:v>5000</x:v>
      </x:c>
      <x:c r="J8" s="40" t="n">
        <x:v>2500</x:v>
      </x:c>
      <x:c r="K8" s="40" t="n">
        <x:v>5000</x:v>
      </x:c>
      <x:c r="L8" s="40" t="n">
        <x:v>5000</x:v>
      </x:c>
      <x:c r="M8" s="40" t="n">
        <x:v>5000</x:v>
      </x:c>
      <x:c r="N8" s="40" t="n">
        <x:v>5000</x:v>
      </x:c>
      <x:c r="O8" s="40" t="n">
        <x:v>2500</x:v>
      </x:c>
      <x:c r="P8" s="40" t="n">
        <x:f>SUM(D8:O8)</x:f>
        <x:v>52500</x:v>
      </x:c>
    </x:row>
    <x:row r="9">
      <x:c r="B9" s="27" t="str">
        <x:v>Anna Power</x:v>
      </x:c>
      <x:c r="C9" s="27" t="str">
        <x:v>Open program seats</x:v>
      </x:c>
      <x:c r="D9" s="40" t="n">
        <x:v>2000</x:v>
      </x:c>
      <x:c r="E9" s="40" t="n">
        <x:v>2500</x:v>
      </x:c>
      <x:c r="F9" s="40" t="n">
        <x:v>2500</x:v>
      </x:c>
      <x:c r="G9" s="40" t="n">
        <x:v>3000</x:v>
      </x:c>
      <x:c r="H9" s="40" t="n">
        <x:v>2500</x:v>
      </x:c>
      <x:c r="I9" s="40" t="n">
        <x:v>2500</x:v>
      </x:c>
      <x:c r="J9" s="40" t="n">
        <x:v>1500</x:v>
      </x:c>
      <x:c r="K9" s="40" t="n">
        <x:v>2500</x:v>
      </x:c>
      <x:c r="L9" s="40" t="n">
        <x:v>3500</x:v>
      </x:c>
      <x:c r="M9" s="40" t="n">
        <x:v>3500</x:v>
      </x:c>
      <x:c r="N9" s="40" t="n">
        <x:v>2500</x:v>
      </x:c>
      <x:c r="O9" s="40" t="n">
        <x:v>2000</x:v>
      </x:c>
      <x:c r="P9" s="40" t="n">
        <x:f>SUM(D9:O9)</x:f>
        <x:v>30500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5000</x:v>
      </x:c>
      <x:c r="G10" s="40" t="n">
        <x:v>5000</x:v>
      </x:c>
      <x:c r="H10" s="40" t="n">
        <x:v>5000</x:v>
      </x:c>
      <x:c r="I10" s="40" t="n">
        <x:v>2500</x:v>
      </x:c>
      <x:c r="J10" s="40" t="n">
        <x:v>2500</x:v>
      </x:c>
      <x:c r="K10" s="40" t="n">
        <x:v>5000</x:v>
      </x:c>
      <x:c r="L10" s="40" t="n">
        <x:v>5000</x:v>
      </x:c>
      <x:c r="M10" s="40" t="n">
        <x:v>5000</x:v>
      </x:c>
      <x:c r="N10" s="40" t="n">
        <x:v>5000</x:v>
      </x:c>
      <x:c r="O10" s="40" t="n">
        <x:v>2500</x:v>
      </x:c>
      <x:c r="P10" s="40" t="n">
        <x:f>SUM(D10:O10)</x:f>
        <x:v>47500</x:v>
      </x:c>
    </x:row>
    <x:row r="11">
      <x:c r="B11" s="27" t="str">
        <x:v>Mark Pressure</x:v>
      </x:c>
      <x:c r="C11" s="27" t="str">
        <x:v>Corporate sales training</x:v>
      </x:c>
      <x:c r="D11" s="40" t="n">
        <x:v>12500</x:v>
      </x:c>
      <x:c r="E11" s="40" t="n">
        <x:v>12500</x:v>
      </x:c>
      <x:c r="F11" s="40" t="n">
        <x:v>12500</x:v>
      </x:c>
      <x:c r="G11" s="40" t="n">
        <x:v>15000</x:v>
      </x:c>
      <x:c r="H11" s="40" t="n">
        <x:v>12500</x:v>
      </x:c>
      <x:c r="I11" s="40" t="n">
        <x:v>10000</x:v>
      </x:c>
      <x:c r="J11" s="40" t="n">
        <x:v>7500</x:v>
      </x:c>
      <x:c r="K11" s="40" t="n">
        <x:v>10000</x:v>
      </x:c>
      <x:c r="L11" s="40" t="n">
        <x:v>15000</x:v>
      </x:c>
      <x:c r="M11" s="40" t="n">
        <x:v>15000</x:v>
      </x:c>
      <x:c r="N11" s="40" t="n">
        <x:v>12500</x:v>
      </x:c>
      <x:c r="O11" s="40" t="n">
        <x:v>10000</x:v>
      </x:c>
      <x:c r="P11" s="40" t="n">
        <x:f>SUM(D11:O11)</x:f>
        <x:v>145000</x:v>
      </x:c>
    </x:row>
    <x:row r="12">
      <x:c r="B12" s="27" t="str">
        <x:v>Mark Pressure</x:v>
      </x:c>
      <x:c r="C12" s="27" t="str">
        <x:v>Open program seats</x:v>
      </x:c>
      <x:c r="D12" s="40" t="n">
        <x:v>2000</x:v>
      </x:c>
      <x:c r="E12" s="40" t="n">
        <x:v>2500</x:v>
      </x:c>
      <x:c r="F12" s="40" t="n">
        <x:v>2500</x:v>
      </x:c>
      <x:c r="G12" s="40" t="n">
        <x:v>3000</x:v>
      </x:c>
      <x:c r="H12" s="40" t="n">
        <x:v>2500</x:v>
      </x:c>
      <x:c r="I12" s="40" t="n">
        <x:v>2000</x:v>
      </x:c>
      <x:c r="J12" s="40" t="n">
        <x:v>1000</x:v>
      </x:c>
      <x:c r="K12" s="40" t="n">
        <x:v>2000</x:v>
      </x:c>
      <x:c r="L12" s="40" t="n">
        <x:v>3500</x:v>
      </x:c>
      <x:c r="M12" s="40" t="n">
        <x:v>4000</x:v>
      </x:c>
      <x:c r="N12" s="40" t="n">
        <x:v>3000</x:v>
      </x:c>
      <x:c r="O12" s="40" t="n">
        <x:v>2000</x:v>
      </x:c>
      <x:c r="P12" s="40" t="n">
        <x:f>SUM(D12:O12)</x:f>
        <x:v>30000</x:v>
      </x:c>
    </x:row>
    <x:row r="13">
      <x:c r="B13" s="27" t="str">
        <x:v>Linda Smile</x:v>
      </x:c>
      <x:c r="C13" s="27" t="str">
        <x:v>Corporate management training</x:v>
      </x:c>
      <x:c r="D13" s="40" t="n">
        <x:v>5000</x:v>
      </x:c>
      <x:c r="E13" s="40" t="n">
        <x:v>5000</x:v>
      </x:c>
      <x:c r="F13" s="40" t="n">
        <x:v>5000</x:v>
      </x:c>
      <x:c r="G13" s="40" t="n">
        <x:v>7500</x:v>
      </x:c>
      <x:c r="H13" s="40" t="n">
        <x:v>5000</x:v>
      </x:c>
      <x:c r="I13" s="40" t="n">
        <x:v>5000</x:v>
      </x:c>
      <x:c r="J13" s="40" t="n">
        <x:v>2500</x:v>
      </x:c>
      <x:c r="K13" s="40" t="n">
        <x:v>5000</x:v>
      </x:c>
      <x:c r="L13" s="40" t="n">
        <x:v>7500</x:v>
      </x:c>
      <x:c r="M13" s="40" t="n">
        <x:v>7500</x:v>
      </x:c>
      <x:c r="N13" s="40" t="n">
        <x:v>5000</x:v>
      </x:c>
      <x:c r="O13" s="40" t="n">
        <x:v>5000</x:v>
      </x:c>
      <x:c r="P13" s="40" t="n">
        <x:f>SUM(D13:O13)</x:f>
        <x:v>65000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5000</x:v>
      </x:c>
      <x:c r="F14" s="40" t="n">
        <x:v>5000</x:v>
      </x:c>
      <x:c r="G14" s="40" t="n">
        <x:v>5000</x:v>
      </x:c>
      <x:c r="H14" s="40" t="n">
        <x:v>5000</x:v>
      </x:c>
      <x:c r="I14" s="40" t="n">
        <x:v>2500</x:v>
      </x:c>
      <x:c r="J14" s="40" t="n">
        <x:v>2500</x:v>
      </x:c>
      <x:c r="K14" s="40" t="n">
        <x:v>5000</x:v>
      </x:c>
      <x:c r="L14" s="40" t="n">
        <x:v>5000</x:v>
      </x:c>
      <x:c r="M14" s="40" t="n">
        <x:v>7500</x:v>
      </x:c>
      <x:c r="N14" s="40" t="n">
        <x:v>5000</x:v>
      </x:c>
      <x:c r="O14" s="40" t="n">
        <x:v>5000</x:v>
      </x:c>
      <x:c r="P14" s="40" t="n">
        <x:f>SUM(D14:O14)</x:f>
        <x:v>55000</x:v>
      </x:c>
    </x:row>
    <x:row r="15">
      <x:c r="B15" s="27" t="str">
        <x:v>Linda Smile</x:v>
      </x:c>
      <x:c r="C15" s="27" t="str">
        <x:v>Open program seats</x:v>
      </x:c>
      <x:c r="D15" s="40" t="n">
        <x:v>4000</x:v>
      </x:c>
      <x:c r="E15" s="40" t="n">
        <x:v>5000</x:v>
      </x:c>
      <x:c r="F15" s="40" t="n">
        <x:v>6000</x:v>
      </x:c>
      <x:c r="G15" s="40" t="n">
        <x:v>8000</x:v>
      </x:c>
      <x:c r="H15" s="40" t="n">
        <x:v>7000</x:v>
      </x:c>
      <x:c r="I15" s="40" t="n">
        <x:v>6000</x:v>
      </x:c>
      <x:c r="J15" s="40" t="n">
        <x:v>3000</x:v>
      </x:c>
      <x:c r="K15" s="40" t="n">
        <x:v>5000</x:v>
      </x:c>
      <x:c r="L15" s="40" t="n">
        <x:v>9000</x:v>
      </x:c>
      <x:c r="M15" s="40" t="n">
        <x:v>10000</x:v>
      </x:c>
      <x:c r="N15" s="40" t="n">
        <x:v>8000</x:v>
      </x:c>
      <x:c r="O15" s="40" t="n">
        <x:v>7000</x:v>
      </x:c>
      <x:c r="P15" s="40" t="n">
        <x:f>SUM(D15:O15)</x:f>
        <x:v>78000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5000</x:v>
      </x:c>
      <x:c r="G16" s="40" t="n">
        <x:v>5000</x:v>
      </x:c>
      <x:c r="H16" s="40" t="n">
        <x:v>2500</x:v>
      </x:c>
      <x:c r="I16" s="40" t="n">
        <x:v>2500</x:v>
      </x:c>
      <x:c r="J16" s="40" t="n">
        <x:v>2500</x:v>
      </x:c>
      <x:c r="K16" s="40" t="n">
        <x:v>5000</x:v>
      </x:c>
      <x:c r="L16" s="40" t="n">
        <x:v>5000</x:v>
      </x:c>
      <x:c r="M16" s="40" t="n">
        <x:v>5000</x:v>
      </x:c>
      <x:c r="N16" s="40" t="n">
        <x:v>2500</x:v>
      </x:c>
      <x:c r="O16" s="40" t="n">
        <x:v>2500</x:v>
      </x:c>
      <x:c r="P16" s="40" t="n">
        <x:f>SUM(D16:O16)</x:f>
        <x:v>42500</x:v>
      </x:c>
    </x:row>
    <x:row r="17">
      <x:c r="B17" s="27" t="str">
        <x:v>Peter Late</x:v>
      </x:c>
      <x:c r="C17" s="27" t="str">
        <x:v>Corporate sales training</x:v>
      </x:c>
      <x:c r="D17" s="40" t="n">
        <x:v>5000</x:v>
      </x:c>
      <x:c r="E17" s="40" t="n">
        <x:v>5000</x:v>
      </x:c>
      <x:c r="F17" s="40" t="n">
        <x:v>5000</x:v>
      </x:c>
      <x:c r="G17" s="40" t="n">
        <x:v>5000</x:v>
      </x:c>
      <x:c r="H17" s="40" t="n">
        <x:v>5000</x:v>
      </x:c>
      <x:c r="I17" s="40" t="n">
        <x:v>5000</x:v>
      </x:c>
      <x:c r="J17" s="40" t="n">
        <x:v>2500</x:v>
      </x:c>
      <x:c r="K17" s="40" t="n">
        <x:v>5000</x:v>
      </x:c>
      <x:c r="L17" s="40" t="n">
        <x:v>7500</x:v>
      </x:c>
      <x:c r="M17" s="40" t="n">
        <x:v>7500</x:v>
      </x:c>
      <x:c r="N17" s="40" t="n">
        <x:v>5000</x:v>
      </x:c>
      <x:c r="O17" s="40" t="n">
        <x:v>5000</x:v>
      </x:c>
      <x:c r="P17" s="40" t="n">
        <x:f>SUM(D17:O17)</x:f>
        <x:v>62500</x:v>
      </x:c>
    </x:row>
    <x:row r="18">
      <x:c r="B18" s="27" t="str">
        <x:v>Peter Late</x:v>
      </x:c>
      <x:c r="C18" s="27" t="str">
        <x:v>Open program seats</x:v>
      </x:c>
      <x:c r="D18" s="40" t="n">
        <x:v>2500</x:v>
      </x:c>
      <x:c r="E18" s="40" t="n">
        <x:v>3000</x:v>
      </x:c>
      <x:c r="F18" s="40" t="n">
        <x:v>3500</x:v>
      </x:c>
      <x:c r="G18" s="40" t="n">
        <x:v>4000</x:v>
      </x:c>
      <x:c r="H18" s="40" t="n">
        <x:v>3500</x:v>
      </x:c>
      <x:c r="I18" s="40" t="n">
        <x:v>3000</x:v>
      </x:c>
      <x:c r="J18" s="40" t="n">
        <x:v>1500</x:v>
      </x:c>
      <x:c r="K18" s="40" t="n">
        <x:v>3000</x:v>
      </x:c>
      <x:c r="L18" s="40" t="n">
        <x:v>5000</x:v>
      </x:c>
      <x:c r="M18" s="40" t="n">
        <x:v>5500</x:v>
      </x:c>
      <x:c r="N18" s="40" t="n">
        <x:v>4000</x:v>
      </x:c>
      <x:c r="O18" s="40" t="n">
        <x:v>3500</x:v>
      </x:c>
      <x:c r="P18" s="40" t="n">
        <x:f>SUM(D18:O18)</x:f>
        <x:v>42000</x:v>
      </x:c>
    </x:row>
    <x:row r="19">
      <x:c r="B19" s="27" t="str">
        <x:v>Ella Fast</x:v>
      </x:c>
      <x:c r="C19" s="27" t="str">
        <x:v>Corporate management training</x:v>
      </x:c>
      <x:c r="D19" s="40" t="n">
        <x:v>0</x:v>
      </x:c>
      <x:c r="E19" s="40" t="n">
        <x:v>0</x:v>
      </x:c>
      <x:c r="F19" s="40" t="n">
        <x:v>0</x:v>
      </x:c>
      <x:c r="G19" s="40" t="n">
        <x:v>0</x:v>
      </x:c>
      <x:c r="H19" s="40" t="n">
        <x:v>0</x:v>
      </x:c>
      <x:c r="I19" s="40" t="n">
        <x:v>7500</x:v>
      </x:c>
      <x:c r="J19" s="40" t="n">
        <x:v>10000</x:v>
      </x:c>
      <x:c r="K19" s="40" t="n">
        <x:v>12500</x:v>
      </x:c>
      <x:c r="L19" s="40" t="n">
        <x:v>12500</x:v>
      </x:c>
      <x:c r="M19" s="40" t="n">
        <x:v>15000</x:v>
      </x:c>
      <x:c r="N19" s="40" t="n">
        <x:v>15000</x:v>
      </x:c>
      <x:c r="O19" s="40" t="n">
        <x:v>12500</x:v>
      </x:c>
      <x:c r="P19" s="40" t="n">
        <x:f>SUM(D19:O19)</x:f>
        <x:v>85000</x:v>
      </x:c>
    </x:row>
    <x:row r="20">
      <x:c r="B20" s="27" t="str">
        <x:v>Ella Fast</x:v>
      </x:c>
      <x:c r="C20" s="27" t="str">
        <x:v>Corporate sales training</x:v>
      </x:c>
      <x:c r="D20" s="40" t="n">
        <x:v>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5000</x:v>
      </x:c>
      <x:c r="J20" s="40" t="n">
        <x:v>7500</x:v>
      </x:c>
      <x:c r="K20" s="40" t="n">
        <x:v>10000</x:v>
      </x:c>
      <x:c r="L20" s="40" t="n">
        <x:v>10000</x:v>
      </x:c>
      <x:c r="M20" s="40" t="n">
        <x:v>12500</x:v>
      </x:c>
      <x:c r="N20" s="40" t="n">
        <x:v>12500</x:v>
      </x:c>
      <x:c r="O20" s="40" t="n">
        <x:v>10000</x:v>
      </x:c>
      <x:c r="P20" s="40" t="n">
        <x:f>SUM(D20:O20)</x:f>
        <x:v>67500</x:v>
      </x:c>
    </x:row>
    <x:row r="21">
      <x:c r="B21" s="27" t="str">
        <x:v>Ella Fast</x:v>
      </x:c>
      <x:c r="C21" s="27" t="str">
        <x:v>Open program seats</x:v>
      </x:c>
      <x:c r="D21" s="40" t="n">
        <x:v>0</x:v>
      </x:c>
      <x:c r="E21" s="40" t="n">
        <x:v>0</x:v>
      </x:c>
      <x:c r="F21" s="40" t="n">
        <x:v>0</x:v>
      </x:c>
      <x:c r="G21" s="40" t="n">
        <x:v>0</x:v>
      </x:c>
      <x:c r="H21" s="40" t="n">
        <x:v>0</x:v>
      </x:c>
      <x:c r="I21" s="40" t="n">
        <x:v>2500</x:v>
      </x:c>
      <x:c r="J21" s="40" t="n">
        <x:v>3000</x:v>
      </x:c>
      <x:c r="K21" s="40" t="n">
        <x:v>4000</x:v>
      </x:c>
      <x:c r="L21" s="40" t="n">
        <x:v>5000</x:v>
      </x:c>
      <x:c r="M21" s="40" t="n">
        <x:v>6000</x:v>
      </x:c>
      <x:c r="N21" s="40" t="n">
        <x:v>6000</x:v>
      </x:c>
      <x:c r="O21" s="40" t="n">
        <x:v>5000</x:v>
      </x:c>
      <x:c r="P21" s="40" t="n">
        <x:f>SUM(D21:O21)</x:f>
        <x:v>31500</x:v>
      </x:c>
    </x:row>
    <x:row r="22">
      <x:c r="B22" s="27"/>
      <x:c r="C22" s="27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</x:row>
    <x:row r="23">
      <x:c r="B23" s="78" t="str">
        <x:v>TOTAL</x:v>
      </x:c>
      <x:c r="C23" s="78" t="str">
        <x:v>All products</x:v>
      </x:c>
      <x:c r="D23" s="79" t="n">
        <x:f>SUM(D7:D21)</x:f>
        <x:v>55500</x:v>
      </x:c>
      <x:c r="E23" s="79" t="n">
        <x:f>SUM(E7:E21)</x:f>
        <x:v>63000</x:v>
      </x:c>
      <x:c r="F23" s="79" t="n">
        <x:f>SUM(F7:F21)</x:f>
        <x:v>69500</x:v>
      </x:c>
      <x:c r="G23" s="79" t="n">
        <x:f>SUM(G7:G21)</x:f>
        <x:v>80500</x:v>
      </x:c>
      <x:c r="H23" s="79" t="n">
        <x:f>SUM(H7:H21)</x:f>
        <x:v>68000</x:v>
      </x:c>
      <x:c r="I23" s="79" t="n">
        <x:f>SUM(I7:I21)</x:f>
        <x:v>73500</x:v>
      </x:c>
      <x:c r="J23" s="79" t="n">
        <x:f>SUM(J7:J21)</x:f>
        <x:v>60000</x:v>
      </x:c>
      <x:c r="K23" s="79" t="n">
        <x:f>SUM(K7:K21)</x:f>
        <x:v>91500</x:v>
      </x:c>
      <x:c r="L23" s="79" t="n">
        <x:f>SUM(L7:L21)</x:f>
        <x:v>113500</x:v>
      </x:c>
      <x:c r="M23" s="79" t="n">
        <x:f>SUM(M7:M21)</x:f>
        <x:v>124000</x:v>
      </x:c>
      <x:c r="N23" s="79" t="n">
        <x:f>SUM(N7:N21)</x:f>
        <x:v>103500</x:v>
      </x:c>
      <x:c r="O23" s="79" t="n">
        <x:f>SUM(O7:O21)</x:f>
        <x:v>87000</x:v>
      </x:c>
      <x:c r="P23" s="79" t="n">
        <x:f>SUM(P7:P21)</x:f>
        <x:v>989500</x:v>
      </x:c>
    </x:row>
    <x:row r="24">
      <x:c r="B24" s="78" t="str">
        <x:v>Growth versus prior year</x:v>
      </x:c>
      <x:c r="C24" s="78" t="str">
        <x:v>Revenue growth</x:v>
      </x:c>
      <x:c r="D24" s="80" t="n">
        <x:f>D23/'02 Prior Year Sales'!D20-1</x:f>
        <x:v>0.247191011235955</x:v>
      </x:c>
      <x:c r="E24" s="80" t="n">
        <x:f>E23/'02 Prior Year Sales'!E20-1</x:f>
        <x:v>0.24752475247524752</x:v>
      </x:c>
      <x:c r="F24" s="80" t="n">
        <x:f>F23/'02 Prior Year Sales'!F20-1</x:f>
        <x:v>0.5274725274725274</x:v>
      </x:c>
      <x:c r="G24" s="80" t="n">
        <x:f>G23/'02 Prior Year Sales'!G20-1</x:f>
        <x:v>0.26771653543307083</x:v>
      </x:c>
      <x:c r="H24" s="80" t="n">
        <x:f>H23/'02 Prior Year Sales'!H20-1</x:f>
        <x:v>0.5813953488372092</x:v>
      </x:c>
      <x:c r="I24" s="80" t="n">
        <x:f>I23/'02 Prior Year Sales'!I20-1</x:f>
        <x:v>1.5344827586206895</x:v>
      </x:c>
      <x:c r="J24" s="80" t="n">
        <x:f>J23/'02 Prior Year Sales'!J20-1</x:f>
        <x:v>3</x:v>
      </x:c>
      <x:c r="K24" s="80" t="n">
        <x:f>K23/'02 Prior Year Sales'!K20-1</x:f>
        <x:v>1.772727272727273</x:v>
      </x:c>
      <x:c r="L24" s="80" t="n">
        <x:f>L23/'02 Prior Year Sales'!L20-1</x:f>
        <x:v>0.8760330578512396</x:v>
      </x:c>
      <x:c r="M24" s="80" t="n">
        <x:f>M23/'02 Prior Year Sales'!M20-1</x:f>
        <x:v>0.8931297709923665</x:v>
      </x:c>
      <x:c r="N24" s="80" t="n">
        <x:f>N23/'02 Prior Year Sales'!N20-1</x:f>
        <x:v>1.5875</x:v>
      </x:c>
      <x:c r="O24" s="80" t="n">
        <x:f>O23/'02 Prior Year Sales'!O20-1</x:f>
        <x:v>1.2597402597402598</x:v>
      </x:c>
      <x:c r="P24" s="80" t="n">
        <x:f>P23/'02 Prior Year Sales'!P20-1</x:f>
        <x:v>0.8722800378429518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18" hidden="0" customWidth="1"/>
    <x:col min="5" max="5" width="28" hidden="0" customWidth="1"/>
    <x:col min="6" max="6" width="17" hidden="0" customWidth="1"/>
    <x:col min="7" max="7" width="8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2">
      <x:c r="B2" s="24" t="str">
        <x:v>Draft Program Plan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B3" s="26" t="str">
        <x:v>Programs scheduled by operations for 2026. Revenue and direct costs are calculated from the supplied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B6" s="8" t="str">
        <x:v>ID</x:v>
      </x:c>
      <x:c r="C6" s="8" t="str">
        <x:v>Month</x:v>
      </x:c>
      <x:c r="D6" s="8" t="str">
        <x:v>Salesperson</x:v>
      </x:c>
      <x:c r="E6" s="8" t="str">
        <x:v>Client or Event</x:v>
      </x:c>
      <x:c r="F6" s="8" t="str">
        <x:v>Type</x:v>
      </x:c>
      <x:c r="G6" s="8" t="str">
        <x:v>Days</x:v>
      </x:c>
      <x:c r="H6" s="8" t="str">
        <x:v>Participants</x:v>
      </x:c>
      <x:c r="I6" s="8" t="str">
        <x:v>Seat Price</x:v>
      </x:c>
      <x:c r="J6" s="8" t="str">
        <x:v>Revenue</x:v>
      </x:c>
      <x:c r="K6" s="8" t="str">
        <x:v>Instructor Cost</x:v>
      </x:c>
      <x:c r="L6" s="8" t="str">
        <x:v>Assistants</x:v>
      </x:c>
      <x:c r="M6" s="8" t="str">
        <x:v>Assistant Cost</x:v>
      </x:c>
      <x:c r="N6" s="8" t="str">
        <x:v>Venue</x:v>
      </x:c>
      <x:c r="O6" s="8" t="str">
        <x:v>Travel</x:v>
      </x:c>
      <x:c r="P6" s="8" t="str">
        <x:v>Materials</x:v>
      </x:c>
      <x:c r="Q6" s="8" t="str">
        <x:v>Sales Commission</x:v>
      </x:c>
      <x:c r="R6" s="8" t="str">
        <x:v>Direct Cost</x:v>
      </x:c>
      <x:c r="S6" s="8" t="str">
        <x:v>Contribution</x:v>
      </x:c>
      <x:c r="T6" s="8" t="str">
        <x:v>Margin</x:v>
      </x:c>
    </x:row>
    <x:row r="7">
      <x:c r="B7" s="27" t="str">
        <x:v>P01</x:v>
      </x:c>
      <x:c r="C7" s="27" t="str">
        <x:v>Jan</x:v>
      </x:c>
      <x:c r="D7" s="27" t="str">
        <x:v>Mark Pressure</x:v>
      </x:c>
      <x:c r="E7" s="27" t="str">
        <x:v>Never Enough Calls Ltd</x:v>
      </x:c>
      <x:c r="F7" s="27" t="str">
        <x:v>Standard corporate</x:v>
      </x:c>
      <x:c r="G7" s="27" t="n">
        <x:v>2</x:v>
      </x:c>
      <x:c r="H7" s="27" t="n">
        <x:v>20</x:v>
      </x:c>
      <x:c r="I7" s="27" t="n">
        <x:v>0</x:v>
      </x:c>
      <x:c r="J7" s="40" t="n">
        <x:f>IF(F7="Open",H7*I7,IF(F7="Large corporate",(2500+ROUNDUP(MAX(0,H7-20)/10,0)*650)*G7,2500*G7))</x:f>
        <x:v>5000</x:v>
      </x:c>
      <x:c r="K7" s="40" t="n">
        <x:f>G7*700</x:f>
        <x:v>1400</x:v>
      </x:c>
      <x:c r="L7" s="68" t="n">
        <x:f>IF(F7="Large corporate",MAX(0,ROUNDUP(H7/30,0)-1),0)</x:f>
        <x:v>0</x:v>
      </x:c>
      <x:c r="M7" s="40" t="n">
        <x:f>L7*175*G7</x:f>
        <x:v>0</x:v>
      </x:c>
      <x:c r="N7" s="40" t="n">
        <x:f>IF(F7="Open",600*G7,0)</x:f>
        <x:v>0</x:v>
      </x:c>
      <x:c r="O7" s="40" t="n">
        <x:v>0</x:v>
      </x:c>
      <x:c r="P7" s="40" t="n">
        <x:f>H7*15*G7</x:f>
        <x:v>600</x:v>
      </x:c>
      <x:c r="Q7" s="40" t="n">
        <x:f>J7*5%</x:f>
        <x:v>250</x:v>
      </x:c>
      <x:c r="R7" s="40" t="n">
        <x:f>SUM(K7,M7:Q7)</x:f>
        <x:v>2250</x:v>
      </x:c>
      <x:c r="S7" s="40" t="n">
        <x:f>J7-R7</x:f>
        <x:v>2750</x:v>
      </x:c>
      <x:c r="T7" s="85" t="n">
        <x:f>S7/J7</x:f>
        <x:v>0.55</x:v>
      </x:c>
    </x:row>
    <x:row r="8">
      <x:c r="B8" s="27" t="str">
        <x:v>P02</x:v>
      </x:c>
      <x:c r="C8" s="27" t="str">
        <x:v>Jan</x:v>
      </x:c>
      <x:c r="D8" s="27" t="str">
        <x:v>Linda Smile</x:v>
      </x:c>
      <x:c r="E8" s="27" t="str">
        <x:v>How to Look Busy All Day</x:v>
      </x:c>
      <x:c r="F8" s="27" t="str">
        <x:v>Open</x:v>
      </x:c>
      <x:c r="G8" s="27" t="n">
        <x:v>1</x:v>
      </x:c>
      <x:c r="H8" s="27" t="n">
        <x:v>18</x:v>
      </x:c>
      <x:c r="I8" s="27" t="n">
        <x:v>200</x:v>
      </x:c>
      <x:c r="J8" s="40" t="n">
        <x:f>IF(F8="Open",H8*I8,IF(F8="Large corporate",(2500+ROUNDUP(MAX(0,H8-20)/10,0)*650)*G8,2500*G8))</x:f>
        <x:v>3600</x:v>
      </x:c>
      <x:c r="K8" s="40" t="n">
        <x:f>G8*700</x:f>
        <x:v>700</x:v>
      </x:c>
      <x:c r="L8" s="68" t="n">
        <x:f>IF(F8="Large corporate",MAX(0,ROUNDUP(H8/30,0)-1),0)</x:f>
        <x:v>0</x:v>
      </x:c>
      <x:c r="M8" s="40" t="n">
        <x:f>L8*175*G8</x:f>
        <x:v>0</x:v>
      </x:c>
      <x:c r="N8" s="40" t="n">
        <x:f>IF(F8="Open",600*G8,0)</x:f>
        <x:v>600</x:v>
      </x:c>
      <x:c r="O8" s="40" t="n">
        <x:v>0</x:v>
      </x:c>
      <x:c r="P8" s="40" t="n">
        <x:f>H8*15*G8</x:f>
        <x:v>270</x:v>
      </x:c>
      <x:c r="Q8" s="40" t="n">
        <x:f>J8*5%</x:f>
        <x:v>180</x:v>
      </x:c>
      <x:c r="R8" s="40" t="n">
        <x:f>SUM(K8,M8:Q8)</x:f>
        <x:v>1750</x:v>
      </x:c>
      <x:c r="S8" s="40" t="n">
        <x:f>J8-R8</x:f>
        <x:v>1850</x:v>
      </x:c>
      <x:c r="T8" s="85" t="n">
        <x:f>S8/J8</x:f>
        <x:v>0.5138888888888888</x:v>
      </x:c>
    </x:row>
    <x:row r="9">
      <x:c r="B9" s="27" t="str">
        <x:v>P03</x:v>
      </x:c>
      <x:c r="C9" s="27" t="str">
        <x:v>Feb</x:v>
      </x:c>
      <x:c r="D9" s="27" t="str">
        <x:v>Anna Power</x:v>
      </x:c>
      <x:c r="E9" s="27" t="str">
        <x:v>Big Chair Bank</x:v>
      </x:c>
      <x:c r="F9" s="27" t="str">
        <x:v>Large corporate</x:v>
      </x:c>
      <x:c r="G9" s="27" t="n">
        <x:v>2</x:v>
      </x:c>
      <x:c r="H9" s="27" t="n">
        <x:v>60</x:v>
      </x:c>
      <x:c r="I9" s="27" t="n">
        <x:v>0</x:v>
      </x:c>
      <x:c r="J9" s="40" t="n">
        <x:f>IF(F9="Open",H9*I9,IF(F9="Large corporate",(2500+ROUNDUP(MAX(0,H9-20)/10,0)*650)*G9,2500*G9))</x:f>
        <x:v>10200</x:v>
      </x:c>
      <x:c r="K9" s="40" t="n">
        <x:f>G9*700</x:f>
        <x:v>1400</x:v>
      </x:c>
      <x:c r="L9" s="68" t="n">
        <x:f>IF(F9="Large corporate",MAX(0,ROUNDUP(H9/30,0)-1),0)</x:f>
        <x:v>1</x:v>
      </x:c>
      <x:c r="M9" s="40" t="n">
        <x:f>L9*175*G9</x:f>
        <x:v>350</x:v>
      </x:c>
      <x:c r="N9" s="40" t="n">
        <x:f>IF(F9="Open",600*G9,0)</x:f>
        <x:v>0</x:v>
      </x:c>
      <x:c r="O9" s="40" t="n">
        <x:v>800</x:v>
      </x:c>
      <x:c r="P9" s="40" t="n">
        <x:f>H9*15*G9</x:f>
        <x:v>1800</x:v>
      </x:c>
      <x:c r="Q9" s="40" t="n">
        <x:f>J9*5%</x:f>
        <x:v>510</x:v>
      </x:c>
      <x:c r="R9" s="40" t="n">
        <x:f>SUM(K9,M9:Q9)</x:f>
        <x:v>4860</x:v>
      </x:c>
      <x:c r="S9" s="40" t="n">
        <x:f>J9-R9</x:f>
        <x:v>5340</x:v>
      </x:c>
      <x:c r="T9" s="85" t="n">
        <x:f>S9/J9</x:f>
        <x:v>0.5235294117647059</x:v>
      </x:c>
    </x:row>
    <x:row r="10">
      <x:c r="B10" s="27" t="str">
        <x:v>P04</x:v>
      </x:c>
      <x:c r="C10" s="27" t="str">
        <x:v>Feb</x:v>
      </x:c>
      <x:c r="D10" s="27" t="str">
        <x:v>Peter Late</x:v>
      </x:c>
      <x:c r="E10" s="27" t="str">
        <x:v>Meetings About Meetings</x:v>
      </x:c>
      <x:c r="F10" s="27" t="str">
        <x:v>Standard corporate</x:v>
      </x:c>
      <x:c r="G10" s="27" t="n">
        <x:v>1</x:v>
      </x:c>
      <x:c r="H10" s="27" t="n">
        <x:v>18</x:v>
      </x:c>
      <x:c r="I10" s="27" t="n">
        <x:v>0</x:v>
      </x:c>
      <x:c r="J10" s="40" t="n">
        <x:f>IF(F10="Open",H10*I10,IF(F10="Large corporate",(2500+ROUNDUP(MAX(0,H10-20)/10,0)*650)*G10,2500*G10))</x:f>
        <x:v>2500</x:v>
      </x:c>
      <x:c r="K10" s="40" t="n">
        <x:f>G10*700</x:f>
        <x:v>700</x:v>
      </x:c>
      <x:c r="L10" s="68" t="n">
        <x:f>IF(F10="Large corporate",MAX(0,ROUNDUP(H10/30,0)-1),0)</x:f>
        <x:v>0</x:v>
      </x:c>
      <x:c r="M10" s="40" t="n">
        <x:f>L10*175*G10</x:f>
        <x:v>0</x:v>
      </x:c>
      <x:c r="N10" s="40" t="n">
        <x:f>IF(F10="Open",600*G10,0)</x:f>
        <x:v>0</x:v>
      </x:c>
      <x:c r="O10" s="40" t="n">
        <x:v>0</x:v>
      </x:c>
      <x:c r="P10" s="40" t="n">
        <x:f>H10*15*G10</x:f>
        <x:v>270</x:v>
      </x:c>
      <x:c r="Q10" s="40" t="n">
        <x:f>J10*5%</x:f>
        <x:v>125</x:v>
      </x:c>
      <x:c r="R10" s="40" t="n">
        <x:f>SUM(K10,M10:Q10)</x:f>
        <x:v>1095</x:v>
      </x:c>
      <x:c r="S10" s="40" t="n">
        <x:f>J10-R10</x:f>
        <x:v>1405</x:v>
      </x:c>
      <x:c r="T10" s="85" t="n">
        <x:f>S10/J10</x:f>
        <x:v>0.562</x:v>
      </x:c>
    </x:row>
    <x:row r="11">
      <x:c r="B11" s="27" t="str">
        <x:v>P05</x:v>
      </x:c>
      <x:c r="C11" s="27" t="str">
        <x:v>Mar</x:v>
      </x:c>
      <x:c r="D11" s="27" t="str">
        <x:v>Anna Power</x:v>
      </x:c>
      <x:c r="E11" s="27" t="str">
        <x:v>Credit for Other People's Work</x:v>
      </x:c>
      <x:c r="F11" s="27" t="str">
        <x:v>Standard corporate</x:v>
      </x:c>
      <x:c r="G11" s="27" t="n">
        <x:v>2</x:v>
      </x:c>
      <x:c r="H11" s="27" t="n">
        <x:v>20</x:v>
      </x:c>
      <x:c r="I11" s="27" t="n">
        <x:v>0</x:v>
      </x:c>
      <x:c r="J11" s="40" t="n">
        <x:f>IF(F11="Open",H11*I11,IF(F11="Large corporate",(2500+ROUNDUP(MAX(0,H11-20)/10,0)*650)*G11,2500*G11))</x:f>
        <x:v>5000</x:v>
      </x:c>
      <x:c r="K11" s="40" t="n">
        <x:f>G11*700</x:f>
        <x:v>1400</x:v>
      </x:c>
      <x:c r="L11" s="68" t="n">
        <x:f>IF(F11="Large corporate",MAX(0,ROUNDUP(H11/30,0)-1),0)</x:f>
        <x:v>0</x:v>
      </x:c>
      <x:c r="M11" s="40" t="n">
        <x:f>L11*175*G11</x:f>
        <x:v>0</x:v>
      </x:c>
      <x:c r="N11" s="40" t="n">
        <x:f>IF(F11="Open",600*G11,0)</x:f>
        <x:v>0</x:v>
      </x:c>
      <x:c r="O11" s="40" t="n">
        <x:v>300</x:v>
      </x:c>
      <x:c r="P11" s="40" t="n">
        <x:f>H11*15*G11</x:f>
        <x:v>600</x:v>
      </x:c>
      <x:c r="Q11" s="40" t="n">
        <x:f>J11*5%</x:f>
        <x:v>250</x:v>
      </x:c>
      <x:c r="R11" s="40" t="n">
        <x:f>SUM(K11,M11:Q11)</x:f>
        <x:v>2550</x:v>
      </x:c>
      <x:c r="S11" s="40" t="n">
        <x:f>J11-R11</x:f>
        <x:v>2450</x:v>
      </x:c>
      <x:c r="T11" s="85" t="n">
        <x:f>S11/J11</x:f>
        <x:v>0.49</x:v>
      </x:c>
    </x:row>
    <x:row r="12">
      <x:c r="B12" s="27" t="str">
        <x:v>P06</x:v>
      </x:c>
      <x:c r="C12" s="27" t="str">
        <x:v>Mar</x:v>
      </x:c>
      <x:c r="D12" s="27" t="str">
        <x:v>Linda Smile</x:v>
      </x:c>
      <x:c r="E12" s="27" t="str">
        <x:v>Advanced Micromanagement</x:v>
      </x:c>
      <x:c r="F12" s="27" t="str">
        <x:v>Open</x:v>
      </x:c>
      <x:c r="G12" s="27" t="n">
        <x:v>2</x:v>
      </x:c>
      <x:c r="H12" s="27" t="n">
        <x:v>20</x:v>
      </x:c>
      <x:c r="I12" s="27" t="n">
        <x:v>500</x:v>
      </x:c>
      <x:c r="J12" s="40" t="n">
        <x:f>IF(F12="Open",H12*I12,IF(F12="Large corporate",(2500+ROUNDUP(MAX(0,H12-20)/10,0)*650)*G12,2500*G12))</x:f>
        <x:v>10000</x:v>
      </x:c>
      <x:c r="K12" s="40" t="n">
        <x:f>G12*700</x:f>
        <x:v>1400</x:v>
      </x:c>
      <x:c r="L12" s="68" t="n">
        <x:f>IF(F12="Large corporate",MAX(0,ROUNDUP(H12/30,0)-1),0)</x:f>
        <x:v>0</x:v>
      </x:c>
      <x:c r="M12" s="40" t="n">
        <x:f>L12*175*G12</x:f>
        <x:v>0</x:v>
      </x:c>
      <x:c r="N12" s="40" t="n">
        <x:f>IF(F12="Open",600*G12,0)</x:f>
        <x:v>1200</x:v>
      </x:c>
      <x:c r="O12" s="40" t="n">
        <x:v>0</x:v>
      </x:c>
      <x:c r="P12" s="40" t="n">
        <x:f>H12*15*G12</x:f>
        <x:v>600</x:v>
      </x:c>
      <x:c r="Q12" s="40" t="n">
        <x:f>J12*5%</x:f>
        <x:v>500</x:v>
      </x:c>
      <x:c r="R12" s="40" t="n">
        <x:f>SUM(K12,M12:Q12)</x:f>
        <x:v>3700</x:v>
      </x:c>
      <x:c r="S12" s="40" t="n">
        <x:f>J12-R12</x:f>
        <x:v>6300</x:v>
      </x:c>
      <x:c r="T12" s="85" t="n">
        <x:f>S12/J12</x:f>
        <x:v>0.63</x:v>
      </x:c>
    </x:row>
    <x:row r="13">
      <x:c r="B13" s="27" t="str">
        <x:v>P07</x:v>
      </x:c>
      <x:c r="C13" s="27" t="str">
        <x:v>Apr</x:v>
      </x:c>
      <x:c r="D13" s="27" t="str">
        <x:v>Mark Pressure</x:v>
      </x:c>
      <x:c r="E13" s="27" t="str">
        <x:v>Call Until They Buy</x:v>
      </x:c>
      <x:c r="F13" s="27" t="str">
        <x:v>Standard corporate</x:v>
      </x:c>
      <x:c r="G13" s="27" t="n">
        <x:v>2</x:v>
      </x:c>
      <x:c r="H13" s="27" t="n">
        <x:v>20</x:v>
      </x:c>
      <x:c r="I13" s="27" t="n">
        <x:v>0</x:v>
      </x:c>
      <x:c r="J13" s="40" t="n">
        <x:f>IF(F13="Open",H13*I13,IF(F13="Large corporate",(2500+ROUNDUP(MAX(0,H13-20)/10,0)*650)*G13,2500*G13))</x:f>
        <x:v>5000</x:v>
      </x:c>
      <x:c r="K13" s="40" t="n">
        <x:f>G13*700</x:f>
        <x:v>1400</x:v>
      </x:c>
      <x:c r="L13" s="68" t="n">
        <x:f>IF(F13="Large corporate",MAX(0,ROUNDUP(H13/30,0)-1),0)</x:f>
        <x:v>0</x:v>
      </x:c>
      <x:c r="M13" s="40" t="n">
        <x:f>L13*175*G13</x:f>
        <x:v>0</x:v>
      </x:c>
      <x:c r="N13" s="40" t="n">
        <x:f>IF(F13="Open",600*G13,0)</x:f>
        <x:v>0</x:v>
      </x:c>
      <x:c r="O13" s="40" t="n">
        <x:v>250</x:v>
      </x:c>
      <x:c r="P13" s="40" t="n">
        <x:f>H13*15*G13</x:f>
        <x:v>600</x:v>
      </x:c>
      <x:c r="Q13" s="40" t="n">
        <x:f>J13*5%</x:f>
        <x:v>250</x:v>
      </x:c>
      <x:c r="R13" s="40" t="n">
        <x:f>SUM(K13,M13:Q13)</x:f>
        <x:v>2500</x:v>
      </x:c>
      <x:c r="S13" s="40" t="n">
        <x:f>J13-R13</x:f>
        <x:v>2500</x:v>
      </x:c>
      <x:c r="T13" s="85" t="n">
        <x:f>S13/J13</x:f>
        <x:v>0.5</x:v>
      </x:c>
    </x:row>
    <x:row r="14">
      <x:c r="B14" s="27" t="str">
        <x:v>P08</x:v>
      </x:c>
      <x:c r="C14" s="27" t="str">
        <x:v>Apr</x:v>
      </x:c>
      <x:c r="D14" s="27" t="str">
        <x:v>Peter Late</x:v>
      </x:c>
      <x:c r="E14" s="27" t="str">
        <x:v>Promise First Ask Later</x:v>
      </x:c>
      <x:c r="F14" s="27" t="str">
        <x:v>Large corporate</x:v>
      </x:c>
      <x:c r="G14" s="27" t="n">
        <x:v>1</x:v>
      </x:c>
      <x:c r="H14" s="27" t="n">
        <x:v>90</x:v>
      </x:c>
      <x:c r="I14" s="27" t="n">
        <x:v>0</x:v>
      </x:c>
      <x:c r="J14" s="40" t="n">
        <x:f>IF(F14="Open",H14*I14,IF(F14="Large corporate",(2500+ROUNDUP(MAX(0,H14-20)/10,0)*650)*G14,2500*G14))</x:f>
        <x:v>7050</x:v>
      </x:c>
      <x:c r="K14" s="40" t="n">
        <x:f>G14*700</x:f>
        <x:v>700</x:v>
      </x:c>
      <x:c r="L14" s="68" t="n">
        <x:f>IF(F14="Large corporate",MAX(0,ROUNDUP(H14/30,0)-1),0)</x:f>
        <x:v>2</x:v>
      </x:c>
      <x:c r="M14" s="40" t="n">
        <x:f>L14*175*G14</x:f>
        <x:v>350</x:v>
      </x:c>
      <x:c r="N14" s="40" t="n">
        <x:f>IF(F14="Open",600*G14,0)</x:f>
        <x:v>0</x:v>
      </x:c>
      <x:c r="O14" s="40" t="n">
        <x:v>900</x:v>
      </x:c>
      <x:c r="P14" s="40" t="n">
        <x:f>H14*15*G14</x:f>
        <x:v>1350</x:v>
      </x:c>
      <x:c r="Q14" s="40" t="n">
        <x:f>J14*5%</x:f>
        <x:v>352.5</x:v>
      </x:c>
      <x:c r="R14" s="40" t="n">
        <x:f>SUM(K14,M14:Q14)</x:f>
        <x:v>3652.5</x:v>
      </x:c>
      <x:c r="S14" s="40" t="n">
        <x:f>J14-R14</x:f>
        <x:v>3397.5</x:v>
      </x:c>
      <x:c r="T14" s="85" t="n">
        <x:f>S14/J14</x:f>
        <x:v>0.4819148936170213</x:v>
      </x:c>
    </x:row>
    <x:row r="15">
      <x:c r="B15" s="27" t="str">
        <x:v>P09</x:v>
      </x:c>
      <x:c r="C15" s="27" t="str">
        <x:v>May</x:v>
      </x:c>
      <x:c r="D15" s="27" t="str">
        <x:v>Anna Power</x:v>
      </x:c>
      <x:c r="E15" s="27" t="str">
        <x:v>Professional Blame Delegation</x:v>
      </x:c>
      <x:c r="F15" s="27" t="str">
        <x:v>Standard corporate</x:v>
      </x:c>
      <x:c r="G15" s="27" t="n">
        <x:v>1</x:v>
      </x:c>
      <x:c r="H15" s="27" t="n">
        <x:v>20</x:v>
      </x:c>
      <x:c r="I15" s="27" t="n">
        <x:v>0</x:v>
      </x:c>
      <x:c r="J15" s="40" t="n">
        <x:f>IF(F15="Open",H15*I15,IF(F15="Large corporate",(2500+ROUNDUP(MAX(0,H15-20)/10,0)*650)*G15,2500*G15))</x:f>
        <x:v>2500</x:v>
      </x:c>
      <x:c r="K15" s="40" t="n">
        <x:f>G15*700</x:f>
        <x:v>700</x:v>
      </x:c>
      <x:c r="L15" s="68" t="n">
        <x:f>IF(F15="Large corporate",MAX(0,ROUNDUP(H15/30,0)-1),0)</x:f>
        <x:v>0</x:v>
      </x:c>
      <x:c r="M15" s="40" t="n">
        <x:f>L15*175*G15</x:f>
        <x:v>0</x:v>
      </x:c>
      <x:c r="N15" s="40" t="n">
        <x:f>IF(F15="Open",600*G15,0)</x:f>
        <x:v>0</x:v>
      </x:c>
      <x:c r="O15" s="40" t="n">
        <x:v>0</x:v>
      </x:c>
      <x:c r="P15" s="40" t="n">
        <x:f>H15*15*G15</x:f>
        <x:v>300</x:v>
      </x:c>
      <x:c r="Q15" s="40" t="n">
        <x:f>J15*5%</x:f>
        <x:v>125</x:v>
      </x:c>
      <x:c r="R15" s="40" t="n">
        <x:f>SUM(K15,M15:Q15)</x:f>
        <x:v>1125</x:v>
      </x:c>
      <x:c r="S15" s="40" t="n">
        <x:f>J15-R15</x:f>
        <x:v>1375</x:v>
      </x:c>
      <x:c r="T15" s="85" t="n">
        <x:f>S15/J15</x:f>
        <x:v>0.55</x:v>
      </x:c>
    </x:row>
    <x:row r="16">
      <x:c r="B16" s="27" t="str">
        <x:v>P10</x:v>
      </x:c>
      <x:c r="C16" s="27" t="str">
        <x:v>May</x:v>
      </x:c>
      <x:c r="D16" s="27" t="str">
        <x:v>Linda Smile</x:v>
      </x:c>
      <x:c r="E16" s="27" t="str">
        <x:v>Executive Blame Delegation</x:v>
      </x:c>
      <x:c r="F16" s="27" t="str">
        <x:v>Open</x:v>
      </x:c>
      <x:c r="G16" s="27" t="n">
        <x:v>2</x:v>
      </x:c>
      <x:c r="H16" s="27" t="n">
        <x:v>18</x:v>
      </x:c>
      <x:c r="I16" s="27" t="n">
        <x:v>600</x:v>
      </x:c>
      <x:c r="J16" s="40" t="n">
        <x:f>IF(F16="Open",H16*I16,IF(F16="Large corporate",(2500+ROUNDUP(MAX(0,H16-20)/10,0)*650)*G16,2500*G16))</x:f>
        <x:v>10800</x:v>
      </x:c>
      <x:c r="K16" s="40" t="n">
        <x:f>G16*700</x:f>
        <x:v>1400</x:v>
      </x:c>
      <x:c r="L16" s="68" t="n">
        <x:f>IF(F16="Large corporate",MAX(0,ROUNDUP(H16/30,0)-1),0)</x:f>
        <x:v>0</x:v>
      </x:c>
      <x:c r="M16" s="40" t="n">
        <x:f>L16*175*G16</x:f>
        <x:v>0</x:v>
      </x:c>
      <x:c r="N16" s="40" t="n">
        <x:f>IF(F16="Open",600*G16,0)</x:f>
        <x:v>1200</x:v>
      </x:c>
      <x:c r="O16" s="40" t="n">
        <x:v>0</x:v>
      </x:c>
      <x:c r="P16" s="40" t="n">
        <x:f>H16*15*G16</x:f>
        <x:v>540</x:v>
      </x:c>
      <x:c r="Q16" s="40" t="n">
        <x:f>J16*5%</x:f>
        <x:v>540</x:v>
      </x:c>
      <x:c r="R16" s="40" t="n">
        <x:f>SUM(K16,M16:Q16)</x:f>
        <x:v>3680</x:v>
      </x:c>
      <x:c r="S16" s="40" t="n">
        <x:f>J16-R16</x:f>
        <x:v>7120</x:v>
      </x:c>
      <x:c r="T16" s="85" t="n">
        <x:f>S16/J16</x:f>
        <x:v>0.6592592592592592</x:v>
      </x:c>
    </x:row>
    <x:row r="17">
      <x:c r="B17" s="27" t="str">
        <x:v>P11</x:v>
      </x:c>
      <x:c r="C17" s="27" t="str">
        <x:v>Jun</x:v>
      </x:c>
      <x:c r="D17" s="27" t="str">
        <x:v>Ella Fast</x:v>
      </x:c>
      <x:c r="E17" s="27" t="str">
        <x:v>Advanced Micromanagement</x:v>
      </x:c>
      <x:c r="F17" s="27" t="str">
        <x:v>Standard corporate</x:v>
      </x:c>
      <x:c r="G17" s="27" t="n">
        <x:v>2</x:v>
      </x:c>
      <x:c r="H17" s="27" t="n">
        <x:v>20</x:v>
      </x:c>
      <x:c r="I17" s="27" t="n">
        <x:v>0</x:v>
      </x:c>
      <x:c r="J17" s="40" t="n">
        <x:f>IF(F17="Open",H17*I17,IF(F17="Large corporate",(2500+ROUNDUP(MAX(0,H17-20)/10,0)*650)*G17,2500*G17))</x:f>
        <x:v>5000</x:v>
      </x:c>
      <x:c r="K17" s="40" t="n">
        <x:f>G17*700</x:f>
        <x:v>1400</x:v>
      </x:c>
      <x:c r="L17" s="68" t="n">
        <x:f>IF(F17="Large corporate",MAX(0,ROUNDUP(H17/30,0)-1),0)</x:f>
        <x:v>0</x:v>
      </x:c>
      <x:c r="M17" s="40" t="n">
        <x:f>L17*175*G17</x:f>
        <x:v>0</x:v>
      </x:c>
      <x:c r="N17" s="40" t="n">
        <x:f>IF(F17="Open",600*G17,0)</x:f>
        <x:v>0</x:v>
      </x:c>
      <x:c r="O17" s="40" t="n">
        <x:v>400</x:v>
      </x:c>
      <x:c r="P17" s="40" t="n">
        <x:f>H17*15*G17</x:f>
        <x:v>600</x:v>
      </x:c>
      <x:c r="Q17" s="40" t="n">
        <x:f>J17*5%</x:f>
        <x:v>250</x:v>
      </x:c>
      <x:c r="R17" s="40" t="n">
        <x:f>SUM(K17,M17:Q17)</x:f>
        <x:v>2650</x:v>
      </x:c>
      <x:c r="S17" s="40" t="n">
        <x:f>J17-R17</x:f>
        <x:v>2350</x:v>
      </x:c>
      <x:c r="T17" s="85" t="n">
        <x:f>S17/J17</x:f>
        <x:v>0.47</x:v>
      </x:c>
    </x:row>
    <x:row r="18">
      <x:c r="B18" s="27" t="str">
        <x:v>P12</x:v>
      </x:c>
      <x:c r="C18" s="27" t="str">
        <x:v>Jun</x:v>
      </x:c>
      <x:c r="D18" s="27" t="str">
        <x:v>Mark Pressure</x:v>
      </x:c>
      <x:c r="E18" s="27" t="str">
        <x:v>Call Until They Buy</x:v>
      </x:c>
      <x:c r="F18" s="27" t="str">
        <x:v>Large corporate</x:v>
      </x:c>
      <x:c r="G18" s="27" t="n">
        <x:v>2</x:v>
      </x:c>
      <x:c r="H18" s="27" t="n">
        <x:v>70</x:v>
      </x:c>
      <x:c r="I18" s="27" t="n">
        <x:v>0</x:v>
      </x:c>
      <x:c r="J18" s="40" t="n">
        <x:f>IF(F18="Open",H18*I18,IF(F18="Large corporate",(2500+ROUNDUP(MAX(0,H18-20)/10,0)*650)*G18,2500*G18))</x:f>
        <x:v>11500</x:v>
      </x:c>
      <x:c r="K18" s="40" t="n">
        <x:f>G18*700</x:f>
        <x:v>1400</x:v>
      </x:c>
      <x:c r="L18" s="68" t="n">
        <x:f>IF(F18="Large corporate",MAX(0,ROUNDUP(H18/30,0)-1),0)</x:f>
        <x:v>2</x:v>
      </x:c>
      <x:c r="M18" s="40" t="n">
        <x:f>L18*175*G18</x:f>
        <x:v>700</x:v>
      </x:c>
      <x:c r="N18" s="40" t="n">
        <x:f>IF(F18="Open",600*G18,0)</x:f>
        <x:v>0</x:v>
      </x:c>
      <x:c r="O18" s="40" t="n">
        <x:v>600</x:v>
      </x:c>
      <x:c r="P18" s="40" t="n">
        <x:f>H18*15*G18</x:f>
        <x:v>2100</x:v>
      </x:c>
      <x:c r="Q18" s="40" t="n">
        <x:f>J18*5%</x:f>
        <x:v>575</x:v>
      </x:c>
      <x:c r="R18" s="40" t="n">
        <x:f>SUM(K18,M18:Q18)</x:f>
        <x:v>5375</x:v>
      </x:c>
      <x:c r="S18" s="40" t="n">
        <x:f>J18-R18</x:f>
        <x:v>6125</x:v>
      </x:c>
      <x:c r="T18" s="85" t="n">
        <x:f>S18/J18</x:f>
        <x:v>0.532608695652174</x:v>
      </x:c>
    </x:row>
    <x:row r="19">
      <x:c r="B19" s="27" t="str">
        <x:v>P13</x:v>
      </x:c>
      <x:c r="C19" s="27" t="str">
        <x:v>Jul</x:v>
      </x:c>
      <x:c r="D19" s="27" t="str">
        <x:v>Peter Late</x:v>
      </x:c>
      <x:c r="E19" s="27" t="str">
        <x:v>Meetings About Meetings</x:v>
      </x:c>
      <x:c r="F19" s="27" t="str">
        <x:v>Standard corporate</x:v>
      </x:c>
      <x:c r="G19" s="27" t="n">
        <x:v>1</x:v>
      </x:c>
      <x:c r="H19" s="27" t="n">
        <x:v>20</x:v>
      </x:c>
      <x:c r="I19" s="27" t="n">
        <x:v>0</x:v>
      </x:c>
      <x:c r="J19" s="40" t="n">
        <x:f>IF(F19="Open",H19*I19,IF(F19="Large corporate",(2500+ROUNDUP(MAX(0,H19-20)/10,0)*650)*G19,2500*G19))</x:f>
        <x:v>2500</x:v>
      </x:c>
      <x:c r="K19" s="40" t="n">
        <x:f>G19*700</x:f>
        <x:v>700</x:v>
      </x:c>
      <x:c r="L19" s="68" t="n">
        <x:f>IF(F19="Large corporate",MAX(0,ROUNDUP(H19/30,0)-1),0)</x:f>
        <x:v>0</x:v>
      </x:c>
      <x:c r="M19" s="40" t="n">
        <x:f>L19*175*G19</x:f>
        <x:v>0</x:v>
      </x:c>
      <x:c r="N19" s="40" t="n">
        <x:f>IF(F19="Open",600*G19,0)</x:f>
        <x:v>0</x:v>
      </x:c>
      <x:c r="O19" s="40" t="n">
        <x:v>0</x:v>
      </x:c>
      <x:c r="P19" s="40" t="n">
        <x:f>H19*15*G19</x:f>
        <x:v>300</x:v>
      </x:c>
      <x:c r="Q19" s="40" t="n">
        <x:f>J19*5%</x:f>
        <x:v>125</x:v>
      </x:c>
      <x:c r="R19" s="40" t="n">
        <x:f>SUM(K19,M19:Q19)</x:f>
        <x:v>1125</x:v>
      </x:c>
      <x:c r="S19" s="40" t="n">
        <x:f>J19-R19</x:f>
        <x:v>1375</x:v>
      </x:c>
      <x:c r="T19" s="85" t="n">
        <x:f>S19/J19</x:f>
        <x:v>0.55</x:v>
      </x:c>
    </x:row>
    <x:row r="20">
      <x:c r="B20" s="27" t="str">
        <x:v>P14</x:v>
      </x:c>
      <x:c r="C20" s="27" t="str">
        <x:v>Aug</x:v>
      </x:c>
      <x:c r="D20" s="27" t="str">
        <x:v>Ella Fast</x:v>
      </x:c>
      <x:c r="E20" s="27" t="str">
        <x:v>Promise First Ask Later</x:v>
      </x:c>
      <x:c r="F20" s="27" t="str">
        <x:v>Standard corporate</x:v>
      </x:c>
      <x:c r="G20" s="27" t="n">
        <x:v>2</x:v>
      </x:c>
      <x:c r="H20" s="27" t="n">
        <x:v>20</x:v>
      </x:c>
      <x:c r="I20" s="27" t="n">
        <x:v>0</x:v>
      </x:c>
      <x:c r="J20" s="40" t="n">
        <x:f>IF(F20="Open",H20*I20,IF(F20="Large corporate",(2500+ROUNDUP(MAX(0,H20-20)/10,0)*650)*G20,2500*G20))</x:f>
        <x:v>5000</x:v>
      </x:c>
      <x:c r="K20" s="40" t="n">
        <x:f>G20*700</x:f>
        <x:v>1400</x:v>
      </x:c>
      <x:c r="L20" s="68" t="n">
        <x:f>IF(F20="Large corporate",MAX(0,ROUNDUP(H20/30,0)-1),0)</x:f>
        <x:v>0</x:v>
      </x:c>
      <x:c r="M20" s="40" t="n">
        <x:f>L20*175*G20</x:f>
        <x:v>0</x:v>
      </x:c>
      <x:c r="N20" s="40" t="n">
        <x:f>IF(F20="Open",600*G20,0)</x:f>
        <x:v>0</x:v>
      </x:c>
      <x:c r="O20" s="40" t="n">
        <x:v>500</x:v>
      </x:c>
      <x:c r="P20" s="40" t="n">
        <x:f>H20*15*G20</x:f>
        <x:v>600</x:v>
      </x:c>
      <x:c r="Q20" s="40" t="n">
        <x:f>J20*5%</x:f>
        <x:v>250</x:v>
      </x:c>
      <x:c r="R20" s="40" t="n">
        <x:f>SUM(K20,M20:Q20)</x:f>
        <x:v>2750</x:v>
      </x:c>
      <x:c r="S20" s="40" t="n">
        <x:f>J20-R20</x:f>
        <x:v>2250</x:v>
      </x:c>
      <x:c r="T20" s="85" t="n">
        <x:f>S20/J20</x:f>
        <x:v>0.45</x:v>
      </x:c>
    </x:row>
    <x:row r="21">
      <x:c r="B21" s="27" t="str">
        <x:v>P15</x:v>
      </x:c>
      <x:c r="C21" s="27" t="str">
        <x:v>Aug</x:v>
      </x:c>
      <x:c r="D21" s="27" t="str">
        <x:v>Linda Smile</x:v>
      </x:c>
      <x:c r="E21" s="27" t="str">
        <x:v>How to Look Busy All Day</x:v>
      </x:c>
      <x:c r="F21" s="27" t="str">
        <x:v>Open</x:v>
      </x:c>
      <x:c r="G21" s="27" t="n">
        <x:v>1</x:v>
      </x:c>
      <x:c r="H21" s="27" t="n">
        <x:v>20</x:v>
      </x:c>
      <x:c r="I21" s="27" t="n">
        <x:v>200</x:v>
      </x:c>
      <x:c r="J21" s="40" t="n">
        <x:f>IF(F21="Open",H21*I21,IF(F21="Large corporate",(2500+ROUNDUP(MAX(0,H21-20)/10,0)*650)*G21,2500*G21))</x:f>
        <x:v>4000</x:v>
      </x:c>
      <x:c r="K21" s="40" t="n">
        <x:f>G21*700</x:f>
        <x:v>700</x:v>
      </x:c>
      <x:c r="L21" s="68" t="n">
        <x:f>IF(F21="Large corporate",MAX(0,ROUNDUP(H21/30,0)-1),0)</x:f>
        <x:v>0</x:v>
      </x:c>
      <x:c r="M21" s="40" t="n">
        <x:f>L21*175*G21</x:f>
        <x:v>0</x:v>
      </x:c>
      <x:c r="N21" s="40" t="n">
        <x:f>IF(F21="Open",600*G21,0)</x:f>
        <x:v>600</x:v>
      </x:c>
      <x:c r="O21" s="40" t="n">
        <x:v>0</x:v>
      </x:c>
      <x:c r="P21" s="40" t="n">
        <x:f>H21*15*G21</x:f>
        <x:v>300</x:v>
      </x:c>
      <x:c r="Q21" s="40" t="n">
        <x:f>J21*5%</x:f>
        <x:v>200</x:v>
      </x:c>
      <x:c r="R21" s="40" t="n">
        <x:f>SUM(K21,M21:Q21)</x:f>
        <x:v>1800</x:v>
      </x:c>
      <x:c r="S21" s="40" t="n">
        <x:f>J21-R21</x:f>
        <x:v>2200</x:v>
      </x:c>
      <x:c r="T21" s="85" t="n">
        <x:f>S21/J21</x:f>
        <x:v>0.55</x:v>
      </x:c>
    </x:row>
    <x:row r="22">
      <x:c r="B22" s="27" t="str">
        <x:v>P16</x:v>
      </x:c>
      <x:c r="C22" s="27" t="str">
        <x:v>Sep</x:v>
      </x:c>
      <x:c r="D22" s="27" t="str">
        <x:v>Anna Power</x:v>
      </x:c>
      <x:c r="E22" s="27" t="str">
        <x:v>Advanced Micromanagement</x:v>
      </x:c>
      <x:c r="F22" s="27" t="str">
        <x:v>Large corporate</x:v>
      </x:c>
      <x:c r="G22" s="27" t="n">
        <x:v>2</x:v>
      </x:c>
      <x:c r="H22" s="27" t="n">
        <x:v>100</x:v>
      </x:c>
      <x:c r="I22" s="27" t="n">
        <x:v>0</x:v>
      </x:c>
      <x:c r="J22" s="40" t="n">
        <x:f>IF(F22="Open",H22*I22,IF(F22="Large corporate",(2500+ROUNDUP(MAX(0,H22-20)/10,0)*650)*G22,2500*G22))</x:f>
        <x:v>15400</x:v>
      </x:c>
      <x:c r="K22" s="40" t="n">
        <x:f>G22*700</x:f>
        <x:v>1400</x:v>
      </x:c>
      <x:c r="L22" s="68" t="n">
        <x:f>IF(F22="Large corporate",MAX(0,ROUNDUP(H22/30,0)-1),0)</x:f>
        <x:v>3</x:v>
      </x:c>
      <x:c r="M22" s="40" t="n">
        <x:f>L22*175*G22</x:f>
        <x:v>1050</x:v>
      </x:c>
      <x:c r="N22" s="40" t="n">
        <x:f>IF(F22="Open",600*G22,0)</x:f>
        <x:v>0</x:v>
      </x:c>
      <x:c r="O22" s="40" t="n">
        <x:v>1200</x:v>
      </x:c>
      <x:c r="P22" s="40" t="n">
        <x:f>H22*15*G22</x:f>
        <x:v>3000</x:v>
      </x:c>
      <x:c r="Q22" s="40" t="n">
        <x:f>J22*5%</x:f>
        <x:v>770</x:v>
      </x:c>
      <x:c r="R22" s="40" t="n">
        <x:f>SUM(K22,M22:Q22)</x:f>
        <x:v>7420</x:v>
      </x:c>
      <x:c r="S22" s="40" t="n">
        <x:f>J22-R22</x:f>
        <x:v>7980</x:v>
      </x:c>
      <x:c r="T22" s="85" t="n">
        <x:f>S22/J22</x:f>
        <x:v>0.5181818181818182</x:v>
      </x:c>
    </x:row>
    <x:row r="23">
      <x:c r="B23" s="27" t="str">
        <x:v>P17</x:v>
      </x:c>
      <x:c r="C23" s="27" t="str">
        <x:v>Sep</x:v>
      </x:c>
      <x:c r="D23" s="27" t="str">
        <x:v>Mark Pressure</x:v>
      </x:c>
      <x:c r="E23" s="27" t="str">
        <x:v>Call Until They Buy</x:v>
      </x:c>
      <x:c r="F23" s="27" t="str">
        <x:v>Standard corporate</x:v>
      </x:c>
      <x:c r="G23" s="27" t="n">
        <x:v>2</x:v>
      </x:c>
      <x:c r="H23" s="27" t="n">
        <x:v>20</x:v>
      </x:c>
      <x:c r="I23" s="27" t="n">
        <x:v>0</x:v>
      </x:c>
      <x:c r="J23" s="40" t="n">
        <x:f>IF(F23="Open",H23*I23,IF(F23="Large corporate",(2500+ROUNDUP(MAX(0,H23-20)/10,0)*650)*G23,2500*G23))</x:f>
        <x:v>5000</x:v>
      </x:c>
      <x:c r="K23" s="40" t="n">
        <x:f>G23*700</x:f>
        <x:v>1400</x:v>
      </x:c>
      <x:c r="L23" s="68" t="n">
        <x:f>IF(F23="Large corporate",MAX(0,ROUNDUP(H23/30,0)-1),0)</x:f>
        <x:v>0</x:v>
      </x:c>
      <x:c r="M23" s="40" t="n">
        <x:f>L23*175*G23</x:f>
        <x:v>0</x:v>
      </x:c>
      <x:c r="N23" s="40" t="n">
        <x:f>IF(F23="Open",600*G23,0)</x:f>
        <x:v>0</x:v>
      </x:c>
      <x:c r="O23" s="40" t="n">
        <x:v>300</x:v>
      </x:c>
      <x:c r="P23" s="40" t="n">
        <x:f>H23*15*G23</x:f>
        <x:v>600</x:v>
      </x:c>
      <x:c r="Q23" s="40" t="n">
        <x:f>J23*5%</x:f>
        <x:v>250</x:v>
      </x:c>
      <x:c r="R23" s="40" t="n">
        <x:f>SUM(K23,M23:Q23)</x:f>
        <x:v>2550</x:v>
      </x:c>
      <x:c r="S23" s="40" t="n">
        <x:f>J23-R23</x:f>
        <x:v>2450</x:v>
      </x:c>
      <x:c r="T23" s="85" t="n">
        <x:f>S23/J23</x:f>
        <x:v>0.49</x:v>
      </x:c>
    </x:row>
    <x:row r="24">
      <x:c r="B24" s="27" t="str">
        <x:v>P18</x:v>
      </x:c>
      <x:c r="C24" s="27" t="str">
        <x:v>Sep</x:v>
      </x:c>
      <x:c r="D24" s="27" t="str">
        <x:v>Linda Smile</x:v>
      </x:c>
      <x:c r="E24" s="27" t="str">
        <x:v>Executive Blame Delegation</x:v>
      </x:c>
      <x:c r="F24" s="27" t="str">
        <x:v>Open</x:v>
      </x:c>
      <x:c r="G24" s="27" t="n">
        <x:v>2</x:v>
      </x:c>
      <x:c r="H24" s="27" t="n">
        <x:v>20</x:v>
      </x:c>
      <x:c r="I24" s="27" t="n">
        <x:v>600</x:v>
      </x:c>
      <x:c r="J24" s="40" t="n">
        <x:f>IF(F24="Open",H24*I24,IF(F24="Large corporate",(2500+ROUNDUP(MAX(0,H24-20)/10,0)*650)*G24,2500*G24))</x:f>
        <x:v>12000</x:v>
      </x:c>
      <x:c r="K24" s="40" t="n">
        <x:f>G24*700</x:f>
        <x:v>1400</x:v>
      </x:c>
      <x:c r="L24" s="68" t="n">
        <x:f>IF(F24="Large corporate",MAX(0,ROUNDUP(H24/30,0)-1),0)</x:f>
        <x:v>0</x:v>
      </x:c>
      <x:c r="M24" s="40" t="n">
        <x:f>L24*175*G24</x:f>
        <x:v>0</x:v>
      </x:c>
      <x:c r="N24" s="40" t="n">
        <x:f>IF(F24="Open",600*G24,0)</x:f>
        <x:v>1200</x:v>
      </x:c>
      <x:c r="O24" s="40" t="n">
        <x:v>0</x:v>
      </x:c>
      <x:c r="P24" s="40" t="n">
        <x:f>H24*15*G24</x:f>
        <x:v>600</x:v>
      </x:c>
      <x:c r="Q24" s="40" t="n">
        <x:f>J24*5%</x:f>
        <x:v>600</x:v>
      </x:c>
      <x:c r="R24" s="40" t="n">
        <x:f>SUM(K24,M24:Q24)</x:f>
        <x:v>3800</x:v>
      </x:c>
      <x:c r="S24" s="40" t="n">
        <x:f>J24-R24</x:f>
        <x:v>8200</x:v>
      </x:c>
      <x:c r="T24" s="85" t="n">
        <x:f>S24/J24</x:f>
        <x:v>0.6833333333333333</x:v>
      </x:c>
    </x:row>
    <x:row r="25">
      <x:c r="B25" s="27" t="str">
        <x:v>P19</x:v>
      </x:c>
      <x:c r="C25" s="27" t="str">
        <x:v>Oct</x:v>
      </x:c>
      <x:c r="D25" s="27" t="str">
        <x:v>Peter Late</x:v>
      </x:c>
      <x:c r="E25" s="27" t="str">
        <x:v>Professional Blame Delegation</x:v>
      </x:c>
      <x:c r="F25" s="27" t="str">
        <x:v>Standard corporate</x:v>
      </x:c>
      <x:c r="G25" s="27" t="n">
        <x:v>2</x:v>
      </x:c>
      <x:c r="H25" s="27" t="n">
        <x:v>20</x:v>
      </x:c>
      <x:c r="I25" s="27" t="n">
        <x:v>0</x:v>
      </x:c>
      <x:c r="J25" s="40" t="n">
        <x:f>IF(F25="Open",H25*I25,IF(F25="Large corporate",(2500+ROUNDUP(MAX(0,H25-20)/10,0)*650)*G25,2500*G25))</x:f>
        <x:v>5000</x:v>
      </x:c>
      <x:c r="K25" s="40" t="n">
        <x:f>G25*700</x:f>
        <x:v>1400</x:v>
      </x:c>
      <x:c r="L25" s="68" t="n">
        <x:f>IF(F25="Large corporate",MAX(0,ROUNDUP(H25/30,0)-1),0)</x:f>
        <x:v>0</x:v>
      </x:c>
      <x:c r="M25" s="40" t="n">
        <x:f>L25*175*G25</x:f>
        <x:v>0</x:v>
      </x:c>
      <x:c r="N25" s="40" t="n">
        <x:f>IF(F25="Open",600*G25,0)</x:f>
        <x:v>0</x:v>
      </x:c>
      <x:c r="O25" s="40" t="n">
        <x:v>0</x:v>
      </x:c>
      <x:c r="P25" s="40" t="n">
        <x:f>H25*15*G25</x:f>
        <x:v>600</x:v>
      </x:c>
      <x:c r="Q25" s="40" t="n">
        <x:f>J25*5%</x:f>
        <x:v>250</x:v>
      </x:c>
      <x:c r="R25" s="40" t="n">
        <x:f>SUM(K25,M25:Q25)</x:f>
        <x:v>2250</x:v>
      </x:c>
      <x:c r="S25" s="40" t="n">
        <x:f>J25-R25</x:f>
        <x:v>2750</x:v>
      </x:c>
      <x:c r="T25" s="85" t="n">
        <x:f>S25/J25</x:f>
        <x:v>0.55</x:v>
      </x:c>
    </x:row>
    <x:row r="26">
      <x:c r="B26" s="27" t="str">
        <x:v>P20</x:v>
      </x:c>
      <x:c r="C26" s="27" t="str">
        <x:v>Oct</x:v>
      </x:c>
      <x:c r="D26" s="27" t="str">
        <x:v>Ella Fast</x:v>
      </x:c>
      <x:c r="E26" s="27" t="str">
        <x:v>Promise First Ask Later</x:v>
      </x:c>
      <x:c r="F26" s="27" t="str">
        <x:v>Large corporate</x:v>
      </x:c>
      <x:c r="G26" s="27" t="n">
        <x:v>1</x:v>
      </x:c>
      <x:c r="H26" s="27" t="n">
        <x:v>50</x:v>
      </x:c>
      <x:c r="I26" s="27" t="n">
        <x:v>0</x:v>
      </x:c>
      <x:c r="J26" s="40" t="n">
        <x:f>IF(F26="Open",H26*I26,IF(F26="Large corporate",(2500+ROUNDUP(MAX(0,H26-20)/10,0)*650)*G26,2500*G26))</x:f>
        <x:v>4450</x:v>
      </x:c>
      <x:c r="K26" s="40" t="n">
        <x:f>G26*700</x:f>
        <x:v>700</x:v>
      </x:c>
      <x:c r="L26" s="68" t="n">
        <x:f>IF(F26="Large corporate",MAX(0,ROUNDUP(H26/30,0)-1),0)</x:f>
        <x:v>1</x:v>
      </x:c>
      <x:c r="M26" s="40" t="n">
        <x:f>L26*175*G26</x:f>
        <x:v>175</x:v>
      </x:c>
      <x:c r="N26" s="40" t="n">
        <x:f>IF(F26="Open",600*G26,0)</x:f>
        <x:v>0</x:v>
      </x:c>
      <x:c r="O26" s="40" t="n">
        <x:v>700</x:v>
      </x:c>
      <x:c r="P26" s="40" t="n">
        <x:f>H26*15*G26</x:f>
        <x:v>750</x:v>
      </x:c>
      <x:c r="Q26" s="40" t="n">
        <x:f>J26*5%</x:f>
        <x:v>222.5</x:v>
      </x:c>
      <x:c r="R26" s="40" t="n">
        <x:f>SUM(K26,M26:Q26)</x:f>
        <x:v>2547.5</x:v>
      </x:c>
      <x:c r="S26" s="40" t="n">
        <x:f>J26-R26</x:f>
        <x:v>1902.5</x:v>
      </x:c>
      <x:c r="T26" s="85" t="n">
        <x:f>S26/J26</x:f>
        <x:v>0.42752808988764046</x:v>
      </x:c>
    </x:row>
    <x:row r="27">
      <x:c r="B27" s="27" t="str">
        <x:v>P21</x:v>
      </x:c>
      <x:c r="C27" s="27" t="str">
        <x:v>Oct</x:v>
      </x:c>
      <x:c r="D27" s="27" t="str">
        <x:v>Linda Smile</x:v>
      </x:c>
      <x:c r="E27" s="27" t="str">
        <x:v>Advanced Micromanagement</x:v>
      </x:c>
      <x:c r="F27" s="27" t="str">
        <x:v>Open</x:v>
      </x:c>
      <x:c r="G27" s="27" t="n">
        <x:v>2</x:v>
      </x:c>
      <x:c r="H27" s="27" t="n">
        <x:v>20</x:v>
      </x:c>
      <x:c r="I27" s="27" t="n">
        <x:v>500</x:v>
      </x:c>
      <x:c r="J27" s="40" t="n">
        <x:f>IF(F27="Open",H27*I27,IF(F27="Large corporate",(2500+ROUNDUP(MAX(0,H27-20)/10,0)*650)*G27,2500*G27))</x:f>
        <x:v>10000</x:v>
      </x:c>
      <x:c r="K27" s="40" t="n">
        <x:f>G27*700</x:f>
        <x:v>1400</x:v>
      </x:c>
      <x:c r="L27" s="68" t="n">
        <x:f>IF(F27="Large corporate",MAX(0,ROUNDUP(H27/30,0)-1),0)</x:f>
        <x:v>0</x:v>
      </x:c>
      <x:c r="M27" s="40" t="n">
        <x:f>L27*175*G27</x:f>
        <x:v>0</x:v>
      </x:c>
      <x:c r="N27" s="40" t="n">
        <x:f>IF(F27="Open",600*G27,0)</x:f>
        <x:v>1200</x:v>
      </x:c>
      <x:c r="O27" s="40" t="n">
        <x:v>0</x:v>
      </x:c>
      <x:c r="P27" s="40" t="n">
        <x:f>H27*15*G27</x:f>
        <x:v>600</x:v>
      </x:c>
      <x:c r="Q27" s="40" t="n">
        <x:f>J27*5%</x:f>
        <x:v>500</x:v>
      </x:c>
      <x:c r="R27" s="40" t="n">
        <x:f>SUM(K27,M27:Q27)</x:f>
        <x:v>3700</x:v>
      </x:c>
      <x:c r="S27" s="40" t="n">
        <x:f>J27-R27</x:f>
        <x:v>6300</x:v>
      </x:c>
      <x:c r="T27" s="85" t="n">
        <x:f>S27/J27</x:f>
        <x:v>0.63</x:v>
      </x:c>
    </x:row>
    <x:row r="28">
      <x:c r="B28" s="27" t="str">
        <x:v>P22</x:v>
      </x:c>
      <x:c r="C28" s="27" t="str">
        <x:v>Nov</x:v>
      </x:c>
      <x:c r="D28" s="27" t="str">
        <x:v>Anna Power</x:v>
      </x:c>
      <x:c r="E28" s="27" t="str">
        <x:v>Meetings About Meetings</x:v>
      </x:c>
      <x:c r="F28" s="27" t="str">
        <x:v>Standard corporate</x:v>
      </x:c>
      <x:c r="G28" s="27" t="n">
        <x:v>2</x:v>
      </x:c>
      <x:c r="H28" s="27" t="n">
        <x:v>20</x:v>
      </x:c>
      <x:c r="I28" s="27" t="n">
        <x:v>0</x:v>
      </x:c>
      <x:c r="J28" s="40" t="n">
        <x:f>IF(F28="Open",H28*I28,IF(F28="Large corporate",(2500+ROUNDUP(MAX(0,H28-20)/10,0)*650)*G28,2500*G28))</x:f>
        <x:v>5000</x:v>
      </x:c>
      <x:c r="K28" s="40" t="n">
        <x:f>G28*700</x:f>
        <x:v>1400</x:v>
      </x:c>
      <x:c r="L28" s="68" t="n">
        <x:f>IF(F28="Large corporate",MAX(0,ROUNDUP(H28/30,0)-1),0)</x:f>
        <x:v>0</x:v>
      </x:c>
      <x:c r="M28" s="40" t="n">
        <x:f>L28*175*G28</x:f>
        <x:v>0</x:v>
      </x:c>
      <x:c r="N28" s="40" t="n">
        <x:f>IF(F28="Open",600*G28,0)</x:f>
        <x:v>0</x:v>
      </x:c>
      <x:c r="O28" s="40" t="n">
        <x:v>250</x:v>
      </x:c>
      <x:c r="P28" s="40" t="n">
        <x:f>H28*15*G28</x:f>
        <x:v>600</x:v>
      </x:c>
      <x:c r="Q28" s="40" t="n">
        <x:f>J28*5%</x:f>
        <x:v>250</x:v>
      </x:c>
      <x:c r="R28" s="40" t="n">
        <x:f>SUM(K28,M28:Q28)</x:f>
        <x:v>2500</x:v>
      </x:c>
      <x:c r="S28" s="40" t="n">
        <x:f>J28-R28</x:f>
        <x:v>2500</x:v>
      </x:c>
      <x:c r="T28" s="85" t="n">
        <x:f>S28/J28</x:f>
        <x:v>0.5</x:v>
      </x:c>
    </x:row>
    <x:row r="29">
      <x:c r="B29" s="27" t="str">
        <x:v>P23</x:v>
      </x:c>
      <x:c r="C29" s="27" t="str">
        <x:v>Nov</x:v>
      </x:c>
      <x:c r="D29" s="27" t="str">
        <x:v>Mark Pressure</x:v>
      </x:c>
      <x:c r="E29" s="27" t="str">
        <x:v>Call Until They Buy</x:v>
      </x:c>
      <x:c r="F29" s="27" t="str">
        <x:v>Large corporate</x:v>
      </x:c>
      <x:c r="G29" s="27" t="n">
        <x:v>2</x:v>
      </x:c>
      <x:c r="H29" s="27" t="n">
        <x:v>80</x:v>
      </x:c>
      <x:c r="I29" s="27" t="n">
        <x:v>0</x:v>
      </x:c>
      <x:c r="J29" s="40" t="n">
        <x:f>IF(F29="Open",H29*I29,IF(F29="Large corporate",(2500+ROUNDUP(MAX(0,H29-20)/10,0)*650)*G29,2500*G29))</x:f>
        <x:v>12800</x:v>
      </x:c>
      <x:c r="K29" s="40" t="n">
        <x:f>G29*700</x:f>
        <x:v>1400</x:v>
      </x:c>
      <x:c r="L29" s="68" t="n">
        <x:f>IF(F29="Large corporate",MAX(0,ROUNDUP(H29/30,0)-1),0)</x:f>
        <x:v>2</x:v>
      </x:c>
      <x:c r="M29" s="40" t="n">
        <x:f>L29*175*G29</x:f>
        <x:v>700</x:v>
      </x:c>
      <x:c r="N29" s="40" t="n">
        <x:f>IF(F29="Open",600*G29,0)</x:f>
        <x:v>0</x:v>
      </x:c>
      <x:c r="O29" s="40" t="n">
        <x:v>800</x:v>
      </x:c>
      <x:c r="P29" s="40" t="n">
        <x:f>H29*15*G29</x:f>
        <x:v>2400</x:v>
      </x:c>
      <x:c r="Q29" s="40" t="n">
        <x:f>J29*5%</x:f>
        <x:v>640</x:v>
      </x:c>
      <x:c r="R29" s="40" t="n">
        <x:f>SUM(K29,M29:Q29)</x:f>
        <x:v>5940</x:v>
      </x:c>
      <x:c r="S29" s="40" t="n">
        <x:f>J29-R29</x:f>
        <x:v>6860</x:v>
      </x:c>
      <x:c r="T29" s="85" t="n">
        <x:f>S29/J29</x:f>
        <x:v>0.5359375</x:v>
      </x:c>
    </x:row>
    <x:row r="30">
      <x:c r="B30" s="27" t="str">
        <x:v>P24</x:v>
      </x:c>
      <x:c r="C30" s="27" t="str">
        <x:v>Nov</x:v>
      </x:c>
      <x:c r="D30" s="27" t="str">
        <x:v>Linda Smile</x:v>
      </x:c>
      <x:c r="E30" s="27" t="str">
        <x:v>How to Look Busy All Day</x:v>
      </x:c>
      <x:c r="F30" s="27" t="str">
        <x:v>Open</x:v>
      </x:c>
      <x:c r="G30" s="27" t="n">
        <x:v>1</x:v>
      </x:c>
      <x:c r="H30" s="27" t="n">
        <x:v>20</x:v>
      </x:c>
      <x:c r="I30" s="27" t="n">
        <x:v>200</x:v>
      </x:c>
      <x:c r="J30" s="40" t="n">
        <x:f>IF(F30="Open",H30*I30,IF(F30="Large corporate",(2500+ROUNDUP(MAX(0,H30-20)/10,0)*650)*G30,2500*G30))</x:f>
        <x:v>4000</x:v>
      </x:c>
      <x:c r="K30" s="40" t="n">
        <x:f>G30*700</x:f>
        <x:v>700</x:v>
      </x:c>
      <x:c r="L30" s="68" t="n">
        <x:f>IF(F30="Large corporate",MAX(0,ROUNDUP(H30/30,0)-1),0)</x:f>
        <x:v>0</x:v>
      </x:c>
      <x:c r="M30" s="40" t="n">
        <x:f>L30*175*G30</x:f>
        <x:v>0</x:v>
      </x:c>
      <x:c r="N30" s="40" t="n">
        <x:f>IF(F30="Open",600*G30,0)</x:f>
        <x:v>600</x:v>
      </x:c>
      <x:c r="O30" s="40" t="n">
        <x:v>0</x:v>
      </x:c>
      <x:c r="P30" s="40" t="n">
        <x:f>H30*15*G30</x:f>
        <x:v>300</x:v>
      </x:c>
      <x:c r="Q30" s="40" t="n">
        <x:f>J30*5%</x:f>
        <x:v>200</x:v>
      </x:c>
      <x:c r="R30" s="40" t="n">
        <x:f>SUM(K30,M30:Q30)</x:f>
        <x:v>1800</x:v>
      </x:c>
      <x:c r="S30" s="40" t="n">
        <x:f>J30-R30</x:f>
        <x:v>2200</x:v>
      </x:c>
      <x:c r="T30" s="85" t="n">
        <x:f>S30/J30</x:f>
        <x:v>0.55</x:v>
      </x:c>
    </x:row>
    <x:row r="31">
      <x:c r="B31" s="27" t="str">
        <x:v>P25</x:v>
      </x:c>
      <x:c r="C31" s="27" t="str">
        <x:v>Dec</x:v>
      </x:c>
      <x:c r="D31" s="27" t="str">
        <x:v>Peter Late</x:v>
      </x:c>
      <x:c r="E31" s="27" t="str">
        <x:v>Professional Blame Delegation</x:v>
      </x:c>
      <x:c r="F31" s="27" t="str">
        <x:v>Standard corporate</x:v>
      </x:c>
      <x:c r="G31" s="27" t="n">
        <x:v>1</x:v>
      </x:c>
      <x:c r="H31" s="27" t="n">
        <x:v>20</x:v>
      </x:c>
      <x:c r="I31" s="27" t="n">
        <x:v>0</x:v>
      </x:c>
      <x:c r="J31" s="40" t="n">
        <x:f>IF(F31="Open",H31*I31,IF(F31="Large corporate",(2500+ROUNDUP(MAX(0,H31-20)/10,0)*650)*G31,2500*G31))</x:f>
        <x:v>2500</x:v>
      </x:c>
      <x:c r="K31" s="40" t="n">
        <x:f>G31*700</x:f>
        <x:v>700</x:v>
      </x:c>
      <x:c r="L31" s="68" t="n">
        <x:f>IF(F31="Large corporate",MAX(0,ROUNDUP(H31/30,0)-1),0)</x:f>
        <x:v>0</x:v>
      </x:c>
      <x:c r="M31" s="40" t="n">
        <x:f>L31*175*G31</x:f>
        <x:v>0</x:v>
      </x:c>
      <x:c r="N31" s="40" t="n">
        <x:f>IF(F31="Open",600*G31,0)</x:f>
        <x:v>0</x:v>
      </x:c>
      <x:c r="O31" s="40" t="n">
        <x:v>0</x:v>
      </x:c>
      <x:c r="P31" s="40" t="n">
        <x:f>H31*15*G31</x:f>
        <x:v>300</x:v>
      </x:c>
      <x:c r="Q31" s="40" t="n">
        <x:f>J31*5%</x:f>
        <x:v>125</x:v>
      </x:c>
      <x:c r="R31" s="40" t="n">
        <x:f>SUM(K31,M31:Q31)</x:f>
        <x:v>1125</x:v>
      </x:c>
      <x:c r="S31" s="40" t="n">
        <x:f>J31-R31</x:f>
        <x:v>1375</x:v>
      </x:c>
      <x:c r="T31" s="85" t="n">
        <x:f>S31/J31</x:f>
        <x:v>0.55</x:v>
      </x:c>
    </x:row>
    <x:row r="32">
      <x:c r="B32" s="27" t="str">
        <x:v>P26</x:v>
      </x:c>
      <x:c r="C32" s="27" t="str">
        <x:v>Dec</x:v>
      </x:c>
      <x:c r="D32" s="27" t="str">
        <x:v>Ella Fast</x:v>
      </x:c>
      <x:c r="E32" s="27" t="str">
        <x:v>Advanced Micromanagement</x:v>
      </x:c>
      <x:c r="F32" s="27" t="str">
        <x:v>Standard corporate</x:v>
      </x:c>
      <x:c r="G32" s="27" t="n">
        <x:v>2</x:v>
      </x:c>
      <x:c r="H32" s="27" t="n">
        <x:v>20</x:v>
      </x:c>
      <x:c r="I32" s="27" t="n">
        <x:v>0</x:v>
      </x:c>
      <x:c r="J32" s="40" t="n">
        <x:f>IF(F32="Open",H32*I32,IF(F32="Large corporate",(2500+ROUNDUP(MAX(0,H32-20)/10,0)*650)*G32,2500*G32))</x:f>
        <x:v>5000</x:v>
      </x:c>
      <x:c r="K32" s="40" t="n">
        <x:f>G32*700</x:f>
        <x:v>1400</x:v>
      </x:c>
      <x:c r="L32" s="68" t="n">
        <x:f>IF(F32="Large corporate",MAX(0,ROUNDUP(H32/30,0)-1),0)</x:f>
        <x:v>0</x:v>
      </x:c>
      <x:c r="M32" s="40" t="n">
        <x:f>L32*175*G32</x:f>
        <x:v>0</x:v>
      </x:c>
      <x:c r="N32" s="40" t="n">
        <x:f>IF(F32="Open",600*G32,0)</x:f>
        <x:v>0</x:v>
      </x:c>
      <x:c r="O32" s="40" t="n">
        <x:v>450</x:v>
      </x:c>
      <x:c r="P32" s="40" t="n">
        <x:f>H32*15*G32</x:f>
        <x:v>600</x:v>
      </x:c>
      <x:c r="Q32" s="40" t="n">
        <x:f>J32*5%</x:f>
        <x:v>250</x:v>
      </x:c>
      <x:c r="R32" s="40" t="n">
        <x:f>SUM(K32,M32:Q32)</x:f>
        <x:v>2700</x:v>
      </x:c>
      <x:c r="S32" s="40" t="n">
        <x:f>J32-R32</x:f>
        <x:v>2300</x:v>
      </x:c>
      <x:c r="T32" s="85" t="n">
        <x:f>S32/J32</x:f>
        <x:v>0.46</x:v>
      </x:c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40"/>
      <x:c r="K33" s="40"/>
      <x:c r="L33" s="68"/>
      <x:c r="M33" s="40"/>
      <x:c r="N33" s="40"/>
      <x:c r="O33" s="40"/>
      <x:c r="P33" s="40"/>
      <x:c r="Q33" s="40"/>
      <x:c r="R33" s="40"/>
      <x:c r="S33" s="40"/>
      <x:c r="T33" s="85"/>
    </x:row>
    <x:row r="34">
      <x:c r="B34" s="78" t="str">
        <x:v>TOTAL</x:v>
      </x:c>
      <x:c r="C34" s="78" t="str"/>
      <x:c r="D34" s="78" t="str"/>
      <x:c r="E34" s="78" t="str"/>
      <x:c r="F34" s="78" t="str"/>
      <x:c r="G34" s="78" t="str"/>
      <x:c r="H34" s="78" t="str"/>
      <x:c r="I34" s="78" t="str"/>
      <x:c r="J34" s="79" t="n">
        <x:f>SUM(J7:J32)</x:f>
        <x:v>170800</x:v>
      </x:c>
      <x:c r="K34" s="79" t="n">
        <x:f>SUM(K7:K32)</x:f>
        <x:v>30100</x:v>
      </x:c>
      <x:c r="L34" s="86" t="n">
        <x:f>SUM(L7:L32)</x:f>
        <x:v>11</x:v>
      </x:c>
      <x:c r="M34" s="79" t="n">
        <x:f>SUM(M7:M32)</x:f>
        <x:v>3325</x:v>
      </x:c>
      <x:c r="N34" s="79" t="n">
        <x:f>SUM(N7:N32)</x:f>
        <x:v>6600</x:v>
      </x:c>
      <x:c r="O34" s="79" t="n">
        <x:f>SUM(O7:O32)</x:f>
        <x:v>7450</x:v>
      </x:c>
      <x:c r="P34" s="79" t="n">
        <x:f>SUM(P7:P32)</x:f>
        <x:v>21180</x:v>
      </x:c>
      <x:c r="Q34" s="79" t="n">
        <x:f>SUM(Q7:Q32)</x:f>
        <x:v>8540</x:v>
      </x:c>
      <x:c r="R34" s="79" t="n">
        <x:f>SUM(R7:R32)</x:f>
        <x:v>77195</x:v>
      </x:c>
      <x:c r="S34" s="79" t="n">
        <x:f>SUM(S7:S32)</x:f>
        <x:v>93605</x:v>
      </x:c>
      <x:c r="T34" s="80" t="n">
        <x:f>S34/J34</x:f>
        <x:v>0.5480386416861827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Operating Expenses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monthly operating-expense budget supplied by finance.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Expense</x:v>
      </x:c>
      <x:c r="C6" s="8" t="str">
        <x:v>Department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Sales salaries</x:v>
      </x:c>
      <x:c r="C7" s="27" t="str">
        <x:v>Sales</x:v>
      </x:c>
      <x:c r="D7" s="40" t="n">
        <x:v>7200</x:v>
      </x:c>
      <x:c r="E7" s="40" t="n">
        <x:v>7200</x:v>
      </x:c>
      <x:c r="F7" s="40" t="n">
        <x:v>7200</x:v>
      </x:c>
      <x:c r="G7" s="40" t="n">
        <x:v>7200</x:v>
      </x:c>
      <x:c r="H7" s="40" t="n">
        <x:v>7200</x:v>
      </x:c>
      <x:c r="I7" s="40" t="n">
        <x:v>7200</x:v>
      </x:c>
      <x:c r="J7" s="40" t="n">
        <x:v>7200</x:v>
      </x:c>
      <x:c r="K7" s="40" t="n">
        <x:v>7200</x:v>
      </x:c>
      <x:c r="L7" s="40" t="n">
        <x:v>7200</x:v>
      </x:c>
      <x:c r="M7" s="40" t="n">
        <x:v>7200</x:v>
      </x:c>
      <x:c r="N7" s="40" t="n">
        <x:v>7200</x:v>
      </x:c>
      <x:c r="O7" s="40" t="n">
        <x:v>7200</x:v>
      </x:c>
      <x:c r="P7" s="40" t="n">
        <x:f>SUM(D7:O7)</x:f>
        <x:v>86400</x:v>
      </x:c>
    </x:row>
    <x:row r="8">
      <x:c r="B8" s="27" t="str">
        <x:v>Delivery team salaries</x:v>
      </x:c>
      <x:c r="C8" s="27" t="str">
        <x:v>Operations</x:v>
      </x:c>
      <x:c r="D8" s="40" t="n">
        <x:v>2500</x:v>
      </x:c>
      <x:c r="E8" s="40" t="n">
        <x:v>2500</x:v>
      </x:c>
      <x:c r="F8" s="40" t="n">
        <x:v>2500</x:v>
      </x:c>
      <x:c r="G8" s="40" t="n">
        <x:v>2500</x:v>
      </x:c>
      <x:c r="H8" s="40" t="n">
        <x:v>2500</x:v>
      </x:c>
      <x:c r="I8" s="40" t="n">
        <x:v>2500</x:v>
      </x:c>
      <x:c r="J8" s="40" t="n">
        <x:v>2500</x:v>
      </x:c>
      <x:c r="K8" s="40" t="n">
        <x:v>2500</x:v>
      </x:c>
      <x:c r="L8" s="40" t="n">
        <x:v>2500</x:v>
      </x:c>
      <x:c r="M8" s="40" t="n">
        <x:v>2500</x:v>
      </x:c>
      <x:c r="N8" s="40" t="n">
        <x:v>2500</x:v>
      </x:c>
      <x:c r="O8" s="40" t="n">
        <x:v>2500</x:v>
      </x:c>
      <x:c r="P8" s="40" t="n">
        <x:f>SUM(D8:O8)</x:f>
        <x:v>30000</x:v>
      </x:c>
    </x:row>
    <x:row r="9">
      <x:c r="B9" s="27" t="str">
        <x:v>Administration salaries</x:v>
      </x:c>
      <x:c r="C9" s="27" t="str">
        <x:v>Administration</x:v>
      </x:c>
      <x:c r="D9" s="40" t="n">
        <x:v>2000</x:v>
      </x:c>
      <x:c r="E9" s="40" t="n">
        <x:v>2000</x:v>
      </x:c>
      <x:c r="F9" s="40" t="n">
        <x:v>2000</x:v>
      </x:c>
      <x:c r="G9" s="40" t="n">
        <x:v>2000</x:v>
      </x:c>
      <x:c r="H9" s="40" t="n">
        <x:v>2000</x:v>
      </x:c>
      <x:c r="I9" s="40" t="n">
        <x:v>2000</x:v>
      </x:c>
      <x:c r="J9" s="40" t="n">
        <x:v>2000</x:v>
      </x:c>
      <x:c r="K9" s="40" t="n">
        <x:v>2000</x:v>
      </x:c>
      <x:c r="L9" s="40" t="n">
        <x:v>2000</x:v>
      </x:c>
      <x:c r="M9" s="40" t="n">
        <x:v>2000</x:v>
      </x:c>
      <x:c r="N9" s="40" t="n">
        <x:v>2000</x:v>
      </x:c>
      <x:c r="O9" s="40" t="n">
        <x:v>2000</x:v>
      </x:c>
      <x:c r="P9" s="40" t="n">
        <x:f>SUM(D9:O9)</x:f>
        <x:v>24000</x:v>
      </x:c>
    </x:row>
    <x:row r="10">
      <x:c r="B10" s="27" t="str">
        <x:v>Employer payroll costs</x:v>
      </x:c>
      <x:c r="C10" s="27" t="str">
        <x:v>25% of fixed salaries (case assumption)</x:v>
      </x:c>
      <x:c r="D10" s="40" t="n">
        <x:f>SUM(D7:D9)*25%</x:f>
        <x:v>2925</x:v>
      </x:c>
      <x:c r="E10" s="40" t="n">
        <x:f>SUM(E7:E9)*25%</x:f>
        <x:v>2925</x:v>
      </x:c>
      <x:c r="F10" s="40" t="n">
        <x:f>SUM(F7:F9)*25%</x:f>
        <x:v>2925</x:v>
      </x:c>
      <x:c r="G10" s="40" t="n">
        <x:f>SUM(G7:G9)*25%</x:f>
        <x:v>2925</x:v>
      </x:c>
      <x:c r="H10" s="40" t="n">
        <x:f>SUM(H7:H9)*25%</x:f>
        <x:v>2925</x:v>
      </x:c>
      <x:c r="I10" s="40" t="n">
        <x:f>SUM(I7:I9)*25%</x:f>
        <x:v>2925</x:v>
      </x:c>
      <x:c r="J10" s="40" t="n">
        <x:f>SUM(J7:J9)*25%</x:f>
        <x:v>2925</x:v>
      </x:c>
      <x:c r="K10" s="40" t="n">
        <x:f>SUM(K7:K9)*25%</x:f>
        <x:v>2925</x:v>
      </x:c>
      <x:c r="L10" s="40" t="n">
        <x:f>SUM(L7:L9)*25%</x:f>
        <x:v>2925</x:v>
      </x:c>
      <x:c r="M10" s="40" t="n">
        <x:f>SUM(M7:M9)*25%</x:f>
        <x:v>2925</x:v>
      </x:c>
      <x:c r="N10" s="40" t="n">
        <x:f>SUM(N7:N9)*25%</x:f>
        <x:v>2925</x:v>
      </x:c>
      <x:c r="O10" s="40" t="n">
        <x:f>SUM(O7:O9)*25%</x:f>
        <x:v>2925</x:v>
      </x:c>
      <x:c r="P10" s="40" t="n">
        <x:f>SUM(D10:O10)</x:f>
        <x:v>35100</x:v>
      </x:c>
    </x:row>
    <x:row r="11">
      <x:c r="B11" s="27" t="str">
        <x:v>Marketing</x:v>
      </x:c>
      <x:c r="C11" s="27" t="str">
        <x:v>Marketing</x:v>
      </x:c>
      <x:c r="D11" s="40" t="n">
        <x:v>5500</x:v>
      </x:c>
      <x:c r="E11" s="40" t="n">
        <x:v>5000</x:v>
      </x:c>
      <x:c r="F11" s="40" t="n">
        <x:v>5000</x:v>
      </x:c>
      <x:c r="G11" s="40" t="n">
        <x:v>4500</x:v>
      </x:c>
      <x:c r="H11" s="40" t="n">
        <x:v>4000</x:v>
      </x:c>
      <x:c r="I11" s="40" t="n">
        <x:v>3500</x:v>
      </x:c>
      <x:c r="J11" s="40" t="n">
        <x:v>2000</x:v>
      </x:c>
      <x:c r="K11" s="40" t="n">
        <x:v>3000</x:v>
      </x:c>
      <x:c r="L11" s="40" t="n">
        <x:v>5500</x:v>
      </x:c>
      <x:c r="M11" s="40" t="n">
        <x:v>6000</x:v>
      </x:c>
      <x:c r="N11" s="40" t="n">
        <x:v>5000</x:v>
      </x:c>
      <x:c r="O11" s="40" t="n">
        <x:v>3500</x:v>
      </x:c>
      <x:c r="P11" s="40" t="n">
        <x:f>SUM(D11:O11)</x:f>
        <x:v>52500</x:v>
      </x:c>
    </x:row>
    <x:row r="12">
      <x:c r="B12" s="27" t="str">
        <x:v>Office rent and utilities</x:v>
      </x:c>
      <x:c r="C12" s="27" t="str">
        <x:v>Administration</x:v>
      </x:c>
      <x:c r="D12" s="40" t="n">
        <x:v>1800</x:v>
      </x:c>
      <x:c r="E12" s="40" t="n">
        <x:v>1800</x:v>
      </x:c>
      <x:c r="F12" s="40" t="n">
        <x:v>1800</x:v>
      </x:c>
      <x:c r="G12" s="40" t="n">
        <x:v>1800</x:v>
      </x:c>
      <x:c r="H12" s="40" t="n">
        <x:v>1800</x:v>
      </x:c>
      <x:c r="I12" s="40" t="n">
        <x:v>1800</x:v>
      </x:c>
      <x:c r="J12" s="40" t="n">
        <x:v>1800</x:v>
      </x:c>
      <x:c r="K12" s="40" t="n">
        <x:v>1800</x:v>
      </x:c>
      <x:c r="L12" s="40" t="n">
        <x:v>1800</x:v>
      </x:c>
      <x:c r="M12" s="40" t="n">
        <x:v>1800</x:v>
      </x:c>
      <x:c r="N12" s="40" t="n">
        <x:v>1800</x:v>
      </x:c>
      <x:c r="O12" s="40" t="n">
        <x:v>1800</x:v>
      </x:c>
      <x:c r="P12" s="40" t="n">
        <x:f>SUM(D12:O12)</x:f>
        <x:v>21600</x:v>
      </x:c>
    </x:row>
    <x:row r="13">
      <x:c r="B13" s="27" t="str">
        <x:v>Software</x:v>
      </x:c>
      <x:c r="C13" s="27" t="str">
        <x:v>Administration</x:v>
      </x:c>
      <x:c r="D13" s="40" t="n">
        <x:v>450</x:v>
      </x:c>
      <x:c r="E13" s="40" t="n">
        <x:v>450</x:v>
      </x:c>
      <x:c r="F13" s="40" t="n">
        <x:v>450</x:v>
      </x:c>
      <x:c r="G13" s="40" t="n">
        <x:v>450</x:v>
      </x:c>
      <x:c r="H13" s="40" t="n">
        <x:v>450</x:v>
      </x:c>
      <x:c r="I13" s="40" t="n">
        <x:v>450</x:v>
      </x:c>
      <x:c r="J13" s="40" t="n">
        <x:v>450</x:v>
      </x:c>
      <x:c r="K13" s="40" t="n">
        <x:v>450</x:v>
      </x:c>
      <x:c r="L13" s="40" t="n">
        <x:v>450</x:v>
      </x:c>
      <x:c r="M13" s="40" t="n">
        <x:v>450</x:v>
      </x:c>
      <x:c r="N13" s="40" t="n">
        <x:v>450</x:v>
      </x:c>
      <x:c r="O13" s="40" t="n">
        <x:v>450</x:v>
      </x:c>
      <x:c r="P13" s="40" t="n">
        <x:f>SUM(D13:O13)</x:f>
        <x:v>5400</x:v>
      </x:c>
    </x:row>
    <x:row r="14">
      <x:c r="B14" s="27" t="str">
        <x:v>Accounting and legal</x:v>
      </x:c>
      <x:c r="C14" s="27" t="str">
        <x:v>Administration</x:v>
      </x:c>
      <x:c r="D14" s="40" t="n">
        <x:v>600</x:v>
      </x:c>
      <x:c r="E14" s="40" t="n">
        <x:v>600</x:v>
      </x:c>
      <x:c r="F14" s="40" t="n">
        <x:v>600</x:v>
      </x:c>
      <x:c r="G14" s="40" t="n">
        <x:v>600</x:v>
      </x:c>
      <x:c r="H14" s="40" t="n">
        <x:v>600</x:v>
      </x:c>
      <x:c r="I14" s="40" t="n">
        <x:v>600</x:v>
      </x:c>
      <x:c r="J14" s="40" t="n">
        <x:v>600</x:v>
      </x:c>
      <x:c r="K14" s="40" t="n">
        <x:v>600</x:v>
      </x:c>
      <x:c r="L14" s="40" t="n">
        <x:v>600</x:v>
      </x:c>
      <x:c r="M14" s="40" t="n">
        <x:v>600</x:v>
      </x:c>
      <x:c r="N14" s="40" t="n">
        <x:v>600</x:v>
      </x:c>
      <x:c r="O14" s="40" t="n">
        <x:v>600</x:v>
      </x:c>
      <x:c r="P14" s="40" t="n">
        <x:f>SUM(D14:O14)</x:f>
        <x:v>7200</x:v>
      </x:c>
    </x:row>
    <x:row r="15">
      <x:c r="B15" s="27" t="str">
        <x:v>Insurance</x:v>
      </x:c>
      <x:c r="C15" s="27" t="str">
        <x:v>Administration</x:v>
      </x:c>
      <x:c r="D15" s="40" t="n">
        <x:v>0</x:v>
      </x:c>
      <x:c r="E15" s="40" t="n">
        <x:v>0</x:v>
      </x:c>
      <x:c r="F15" s="40" t="n">
        <x:v>0</x:v>
      </x:c>
      <x:c r="G15" s="40" t="n">
        <x:v>1800</x:v>
      </x:c>
      <x:c r="H15" s="40" t="n">
        <x:v>0</x:v>
      </x:c>
      <x:c r="I15" s="40" t="n">
        <x:v>0</x:v>
      </x:c>
      <x:c r="J15" s="40" t="n">
        <x:v>0</x:v>
      </x:c>
      <x:c r="K15" s="40" t="n">
        <x:v>0</x:v>
      </x:c>
      <x:c r="L15" s="40" t="n">
        <x:v>0</x:v>
      </x:c>
      <x:c r="M15" s="40" t="n">
        <x:v>0</x:v>
      </x:c>
      <x:c r="N15" s="40" t="n">
        <x:v>0</x:v>
      </x:c>
      <x:c r="O15" s="40" t="n">
        <x:v>0</x:v>
      </x:c>
      <x:c r="P15" s="40" t="n">
        <x:f>SUM(D15:O15)</x:f>
        <x:v>1800</x:v>
      </x:c>
    </x:row>
    <x:row r="16">
      <x:c r="B16" s="27" t="str">
        <x:v>Administration travel</x:v>
      </x:c>
      <x:c r="C16" s="27" t="str">
        <x:v>Administration</x:v>
      </x:c>
      <x:c r="D16" s="40" t="n">
        <x:v>350</x:v>
      </x:c>
      <x:c r="E16" s="40" t="n">
        <x:v>350</x:v>
      </x:c>
      <x:c r="F16" s="40" t="n">
        <x:v>350</x:v>
      </x:c>
      <x:c r="G16" s="40" t="n">
        <x:v>350</x:v>
      </x:c>
      <x:c r="H16" s="40" t="n">
        <x:v>350</x:v>
      </x:c>
      <x:c r="I16" s="40" t="n">
        <x:v>350</x:v>
      </x:c>
      <x:c r="J16" s="40" t="n">
        <x:v>350</x:v>
      </x:c>
      <x:c r="K16" s="40" t="n">
        <x:v>350</x:v>
      </x:c>
      <x:c r="L16" s="40" t="n">
        <x:v>350</x:v>
      </x:c>
      <x:c r="M16" s="40" t="n">
        <x:v>350</x:v>
      </x:c>
      <x:c r="N16" s="40" t="n">
        <x:v>350</x:v>
      </x:c>
      <x:c r="O16" s="40" t="n">
        <x:v>350</x:v>
      </x:c>
      <x:c r="P16" s="40" t="n">
        <x:f>SUM(D16:O16)</x:f>
        <x:v>4200</x:v>
      </x:c>
    </x:row>
    <x:row r="17">
      <x:c r="B17" s="27" t="str">
        <x:v>Depreciation</x:v>
      </x:c>
      <x:c r="C17" s="27" t="str">
        <x:v>Finance</x:v>
      </x:c>
      <x:c r="D17" s="40" t="n">
        <x:v>800</x:v>
      </x:c>
      <x:c r="E17" s="40" t="n">
        <x:v>800</x:v>
      </x:c>
      <x:c r="F17" s="40" t="n">
        <x:v>800</x:v>
      </x:c>
      <x:c r="G17" s="40" t="n">
        <x:v>800</x:v>
      </x:c>
      <x:c r="H17" s="40" t="n">
        <x:v>800</x:v>
      </x:c>
      <x:c r="I17" s="40" t="n">
        <x:v>800</x:v>
      </x:c>
      <x:c r="J17" s="40" t="n">
        <x:v>800</x:v>
      </x:c>
      <x:c r="K17" s="40" t="n">
        <x:v>800</x:v>
      </x:c>
      <x:c r="L17" s="40" t="n">
        <x:v>800</x:v>
      </x:c>
      <x:c r="M17" s="40" t="n">
        <x:v>800</x:v>
      </x:c>
      <x:c r="N17" s="40" t="n">
        <x:v>800</x:v>
      </x:c>
      <x:c r="O17" s="40" t="n">
        <x:v>800</x:v>
      </x:c>
      <x:c r="P17" s="40" t="n">
        <x:f>SUM(D17:O17)</x:f>
        <x:v>9600</x:v>
      </x:c>
    </x:row>
    <x:row r="18">
      <x:c r="B18" s="27" t="str">
        <x:v>Interest</x:v>
      </x:c>
      <x:c r="C18" s="27" t="str">
        <x:v>Finance</x:v>
      </x:c>
      <x:c r="D18" s="40" t="n">
        <x:v>250</x:v>
      </x:c>
      <x:c r="E18" s="40" t="n">
        <x:v>250</x:v>
      </x:c>
      <x:c r="F18" s="40" t="n">
        <x:v>250</x:v>
      </x:c>
      <x:c r="G18" s="40" t="n">
        <x:v>250</x:v>
      </x:c>
      <x:c r="H18" s="40" t="n">
        <x:v>250</x:v>
      </x:c>
      <x:c r="I18" s="40" t="n">
        <x:v>250</x:v>
      </x:c>
      <x:c r="J18" s="40" t="n">
        <x:v>250</x:v>
      </x:c>
      <x:c r="K18" s="40" t="n">
        <x:v>250</x:v>
      </x:c>
      <x:c r="L18" s="40" t="n">
        <x:v>250</x:v>
      </x:c>
      <x:c r="M18" s="40" t="n">
        <x:v>250</x:v>
      </x:c>
      <x:c r="N18" s="40" t="n">
        <x:v>250</x:v>
      </x:c>
      <x:c r="O18" s="40" t="n">
        <x:v>250</x:v>
      </x:c>
      <x:c r="P18" s="40" t="n">
        <x:f>SUM(D18:O18)</x:f>
        <x:v>3000</x:v>
      </x:c>
    </x:row>
    <x:row r="19">
      <x:c r="B19" s="27" t="str">
        <x:v>Other expenses</x:v>
      </x:c>
      <x:c r="C19" s="27" t="str">
        <x:v>Administration</x:v>
      </x:c>
      <x:c r="D19" s="40" t="n">
        <x:v>350</x:v>
      </x:c>
      <x:c r="E19" s="40" t="n">
        <x:v>350</x:v>
      </x:c>
      <x:c r="F19" s="40" t="n">
        <x:v>350</x:v>
      </x:c>
      <x:c r="G19" s="40" t="n">
        <x:v>350</x:v>
      </x:c>
      <x:c r="H19" s="40" t="n">
        <x:v>350</x:v>
      </x:c>
      <x:c r="I19" s="40" t="n">
        <x:v>350</x:v>
      </x:c>
      <x:c r="J19" s="40" t="n">
        <x:v>350</x:v>
      </x:c>
      <x:c r="K19" s="40" t="n">
        <x:v>350</x:v>
      </x:c>
      <x:c r="L19" s="40" t="n">
        <x:v>350</x:v>
      </x:c>
      <x:c r="M19" s="40" t="n">
        <x:v>350</x:v>
      </x:c>
      <x:c r="N19" s="40" t="n">
        <x:v>350</x:v>
      </x:c>
      <x:c r="O19" s="40" t="n">
        <x:v>350</x:v>
      </x:c>
      <x:c r="P19" s="40" t="n">
        <x:f>SUM(D19:O19)</x:f>
        <x:v>4200</x:v>
      </x:c>
    </x:row>
    <x:row r="20">
      <x:c r="B20" s="27"/>
      <x:c r="C20" s="27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</x:row>
    <x:row r="21">
      <x:c r="B21" s="78" t="str">
        <x:v>TOTAL</x:v>
      </x:c>
      <x:c r="C21" s="78" t="str">
        <x:v>All departments</x:v>
      </x:c>
      <x:c r="D21" s="79" t="n">
        <x:f>SUM(D7:D19)</x:f>
        <x:v>24725</x:v>
      </x:c>
      <x:c r="E21" s="79" t="n">
        <x:f>SUM(E7:E19)</x:f>
        <x:v>24225</x:v>
      </x:c>
      <x:c r="F21" s="79" t="n">
        <x:f>SUM(F7:F19)</x:f>
        <x:v>24225</x:v>
      </x:c>
      <x:c r="G21" s="79" t="n">
        <x:f>SUM(G7:G19)</x:f>
        <x:v>25525</x:v>
      </x:c>
      <x:c r="H21" s="79" t="n">
        <x:f>SUM(H7:H19)</x:f>
        <x:v>23225</x:v>
      </x:c>
      <x:c r="I21" s="79" t="n">
        <x:f>SUM(I7:I19)</x:f>
        <x:v>22725</x:v>
      </x:c>
      <x:c r="J21" s="79" t="n">
        <x:f>SUM(J7:J19)</x:f>
        <x:v>21225</x:v>
      </x:c>
      <x:c r="K21" s="79" t="n">
        <x:f>SUM(K7:K19)</x:f>
        <x:v>22225</x:v>
      </x:c>
      <x:c r="L21" s="79" t="n">
        <x:f>SUM(L7:L19)</x:f>
        <x:v>24725</x:v>
      </x:c>
      <x:c r="M21" s="79" t="n">
        <x:f>SUM(M7:M19)</x:f>
        <x:v>25225</x:v>
      </x:c>
      <x:c r="N21" s="79" t="n">
        <x:f>SUM(N7:N19)</x:f>
        <x:v>24225</x:v>
      </x:c>
      <x:c r="O21" s="79" t="n">
        <x:f>SUM(O7:O19)</x:f>
        <x:v>22725</x:v>
      </x:c>
      <x:c r="P21" s="79" t="n">
        <x:f>SUM(P7:P19)</x:f>
        <x:v>285000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Original 2026 departmental budget. Keep unchanged; produce Part 1 in sheet 10 and Part 2 in sheet 12.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Source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 budget</x:v>
      </x:c>
      <x:c r="D7" s="40" t="n">
        <x:f>'05 Draft Sales Budget'!D23</x:f>
        <x:v>55500</x:v>
      </x:c>
      <x:c r="E7" s="40" t="n">
        <x:f>'05 Draft Sales Budget'!E23</x:f>
        <x:v>63000</x:v>
      </x:c>
      <x:c r="F7" s="40" t="n">
        <x:f>'05 Draft Sales Budget'!F23</x:f>
        <x:v>69500</x:v>
      </x:c>
      <x:c r="G7" s="40" t="n">
        <x:f>'05 Draft Sales Budget'!G23</x:f>
        <x:v>80500</x:v>
      </x:c>
      <x:c r="H7" s="40" t="n">
        <x:f>'05 Draft Sales Budget'!H23</x:f>
        <x:v>68000</x:v>
      </x:c>
      <x:c r="I7" s="40" t="n">
        <x:f>'05 Draft Sales Budget'!I23</x:f>
        <x:v>73500</x:v>
      </x:c>
      <x:c r="J7" s="40" t="n">
        <x:f>'05 Draft Sales Budget'!J23</x:f>
        <x:v>60000</x:v>
      </x:c>
      <x:c r="K7" s="40" t="n">
        <x:f>'05 Draft Sales Budget'!K23</x:f>
        <x:v>91500</x:v>
      </x:c>
      <x:c r="L7" s="40" t="n">
        <x:f>'05 Draft Sales Budget'!L23</x:f>
        <x:v>113500</x:v>
      </x:c>
      <x:c r="M7" s="40" t="n">
        <x:f>'05 Draft Sales Budget'!M23</x:f>
        <x:v>124000</x:v>
      </x:c>
      <x:c r="N7" s="40" t="n">
        <x:f>'05 Draft Sales Budget'!N23</x:f>
        <x:v>103500</x:v>
      </x:c>
      <x:c r="O7" s="40" t="n">
        <x:f>'05 Draft Sales Budget'!O23</x:f>
        <x:v>87000</x:v>
      </x:c>
      <x:c r="P7" s="40" t="n">
        <x:f>SUM(D7:O7)</x:f>
        <x:v>989500</x:v>
      </x:c>
    </x:row>
    <x:row r="8">
      <x:c r="B8" s="27" t="str">
        <x:v>Direct program costs</x:v>
      </x:c>
      <x:c r="C8" s="27" t="str">
        <x:v>Program plan</x:v>
      </x:c>
      <x:c r="D8" s="40" t="n">
        <x:f>-SUMIF('06 Draft Program Plan'!$C$7:$C$32,"Jan",'06 Draft Program Plan'!$R$7:$R$32)</x:f>
        <x:v>-4000</x:v>
      </x:c>
      <x:c r="E8" s="40" t="n">
        <x:f>-SUMIF('06 Draft Program Plan'!$C$7:$C$32,"Feb",'06 Draft Program Plan'!$R$7:$R$32)</x:f>
        <x:v>-5955</x:v>
      </x:c>
      <x:c r="F8" s="40" t="n">
        <x:f>-SUMIF('06 Draft Program Plan'!$C$7:$C$32,"Mar",'06 Draft Program Plan'!$R$7:$R$32)</x:f>
        <x:v>-6250</x:v>
      </x:c>
      <x:c r="G8" s="40" t="n">
        <x:f>-SUMIF('06 Draft Program Plan'!$C$7:$C$32,"Apr",'06 Draft Program Plan'!$R$7:$R$32)</x:f>
        <x:v>-6152.5</x:v>
      </x:c>
      <x:c r="H8" s="40" t="n">
        <x:f>-SUMIF('06 Draft Program Plan'!$C$7:$C$32,"May",'06 Draft Program Plan'!$R$7:$R$32)</x:f>
        <x:v>-4805</x:v>
      </x:c>
      <x:c r="I8" s="40" t="n">
        <x:f>-SUMIF('06 Draft Program Plan'!$C$7:$C$32,"Jun",'06 Draft Program Plan'!$R$7:$R$32)</x:f>
        <x:v>-8025</x:v>
      </x:c>
      <x:c r="J8" s="40" t="n">
        <x:f>-SUMIF('06 Draft Program Plan'!$C$7:$C$32,"Jul",'06 Draft Program Plan'!$R$7:$R$32)</x:f>
        <x:v>-1125</x:v>
      </x:c>
      <x:c r="K8" s="40" t="n">
        <x:f>-SUMIF('06 Draft Program Plan'!$C$7:$C$32,"Aug",'06 Draft Program Plan'!$R$7:$R$32)</x:f>
        <x:v>-4550</x:v>
      </x:c>
      <x:c r="L8" s="40" t="n">
        <x:f>-SUMIF('06 Draft Program Plan'!$C$7:$C$32,"Sep",'06 Draft Program Plan'!$R$7:$R$32)</x:f>
        <x:v>-13770</x:v>
      </x:c>
      <x:c r="M8" s="40" t="n">
        <x:f>-SUMIF('06 Draft Program Plan'!$C$7:$C$32,"Oct",'06 Draft Program Plan'!$R$7:$R$32)</x:f>
        <x:v>-8497.5</x:v>
      </x:c>
      <x:c r="N8" s="40" t="n">
        <x:f>-SUMIF('06 Draft Program Plan'!$C$7:$C$32,"Nov",'06 Draft Program Plan'!$R$7:$R$32)</x:f>
        <x:v>-10240</x:v>
      </x:c>
      <x:c r="O8" s="40" t="n">
        <x:f>-SUMIF('06 Draft Program Plan'!$C$7:$C$32,"Dec",'06 Draft Program Plan'!$R$7:$R$32)</x:f>
        <x:v>-3825</x:v>
      </x:c>
      <x:c r="P8" s="40" t="n">
        <x:f>SUM(D8:O8)</x:f>
        <x:v>-77195</x:v>
      </x:c>
    </x:row>
    <x:row r="9">
      <x:c r="B9" s="59" t="str">
        <x:v>Contribution</x:v>
      </x:c>
      <x:c r="C9" s="59" t="str"/>
      <x:c r="D9" s="60" t="n">
        <x:f>SUM(D7:D8)</x:f>
        <x:v>51500</x:v>
      </x:c>
      <x:c r="E9" s="60" t="n">
        <x:f>SUM(E7:E8)</x:f>
        <x:v>57045</x:v>
      </x:c>
      <x:c r="F9" s="60" t="n">
        <x:f>SUM(F7:F8)</x:f>
        <x:v>63250</x:v>
      </x:c>
      <x:c r="G9" s="60" t="n">
        <x:f>SUM(G7:G8)</x:f>
        <x:v>74347.5</x:v>
      </x:c>
      <x:c r="H9" s="60" t="n">
        <x:f>SUM(H7:H8)</x:f>
        <x:v>63195</x:v>
      </x:c>
      <x:c r="I9" s="60" t="n">
        <x:f>SUM(I7:I8)</x:f>
        <x:v>65475</x:v>
      </x:c>
      <x:c r="J9" s="60" t="n">
        <x:f>SUM(J7:J8)</x:f>
        <x:v>58875</x:v>
      </x:c>
      <x:c r="K9" s="60" t="n">
        <x:f>SUM(K7:K8)</x:f>
        <x:v>86950</x:v>
      </x:c>
      <x:c r="L9" s="60" t="n">
        <x:f>SUM(L7:L8)</x:f>
        <x:v>99730</x:v>
      </x:c>
      <x:c r="M9" s="60" t="n">
        <x:f>SUM(M7:M8)</x:f>
        <x:v>115502.5</x:v>
      </x:c>
      <x:c r="N9" s="60" t="n">
        <x:f>SUM(N7:N8)</x:f>
        <x:v>93260</x:v>
      </x:c>
      <x:c r="O9" s="60" t="n">
        <x:f>SUM(O7:O8)</x:f>
        <x:v>83175</x:v>
      </x:c>
      <x:c r="P9" s="60" t="n">
        <x:f>SUM(D9:O9)</x:f>
        <x:v>912305</x:v>
      </x:c>
    </x:row>
    <x:row r="10">
      <x:c r="B10" s="59" t="str">
        <x:v>Contribution margin</x:v>
      </x:c>
      <x:c r="C10" s="59" t="str"/>
      <x:c r="D10" s="61" t="n">
        <x:f>D9/D7</x:f>
        <x:v>0.9279279279279279</x:v>
      </x:c>
      <x:c r="E10" s="61" t="n">
        <x:f>E9/E7</x:f>
        <x:v>0.9054761904761904</x:v>
      </x:c>
      <x:c r="F10" s="61" t="n">
        <x:f>F9/F7</x:f>
        <x:v>0.9100719424460432</x:v>
      </x:c>
      <x:c r="G10" s="61" t="n">
        <x:f>G9/G7</x:f>
        <x:v>0.9235714285714286</x:v>
      </x:c>
      <x:c r="H10" s="61" t="n">
        <x:f>H9/H7</x:f>
        <x:v>0.9293382352941176</x:v>
      </x:c>
      <x:c r="I10" s="61" t="n">
        <x:f>I9/I7</x:f>
        <x:v>0.8908163265306123</x:v>
      </x:c>
      <x:c r="J10" s="61" t="n">
        <x:f>J9/J7</x:f>
        <x:v>0.98125</x:v>
      </x:c>
      <x:c r="K10" s="61" t="n">
        <x:f>K9/K7</x:f>
        <x:v>0.9502732240437158</x:v>
      </x:c>
      <x:c r="L10" s="61" t="n">
        <x:f>L9/L7</x:f>
        <x:v>0.8786784140969163</x:v>
      </x:c>
      <x:c r="M10" s="61" t="n">
        <x:f>M9/M7</x:f>
        <x:v>0.9314717741935484</x:v>
      </x:c>
      <x:c r="N10" s="61" t="n">
        <x:f>N9/N7</x:f>
        <x:v>0.9010628019323671</x:v>
      </x:c>
      <x:c r="O10" s="61" t="n">
        <x:f>O9/O7</x:f>
        <x:v>0.9560344827586207</x:v>
      </x:c>
      <x:c r="P10" s="61" t="n">
        <x:f>P9/P7</x:f>
        <x:v>0.9219858514401212</x:v>
      </x:c>
    </x:row>
    <x:row r="11">
      <x:c r="B11" s="27" t="str">
        <x:v>Operating expenses</x:v>
      </x:c>
      <x:c r="C11" s="27" t="str">
        <x:v>Expense budget</x:v>
      </x:c>
      <x:c r="D11" s="40" t="n">
        <x:f>-'07 Draft Operating Costs'!D21</x:f>
        <x:v>-24725</x:v>
      </x:c>
      <x:c r="E11" s="40" t="n">
        <x:f>-'07 Draft Operating Costs'!E21</x:f>
        <x:v>-24225</x:v>
      </x:c>
      <x:c r="F11" s="40" t="n">
        <x:f>-'07 Draft Operating Costs'!F21</x:f>
        <x:v>-24225</x:v>
      </x:c>
      <x:c r="G11" s="40" t="n">
        <x:f>-'07 Draft Operating Costs'!G21</x:f>
        <x:v>-25525</x:v>
      </x:c>
      <x:c r="H11" s="40" t="n">
        <x:f>-'07 Draft Operating Costs'!H21</x:f>
        <x:v>-23225</x:v>
      </x:c>
      <x:c r="I11" s="40" t="n">
        <x:f>-'07 Draft Operating Costs'!I21</x:f>
        <x:v>-22725</x:v>
      </x:c>
      <x:c r="J11" s="40" t="n">
        <x:f>-'07 Draft Operating Costs'!J21</x:f>
        <x:v>-21225</x:v>
      </x:c>
      <x:c r="K11" s="40" t="n">
        <x:f>-'07 Draft Operating Costs'!K21</x:f>
        <x:v>-22225</x:v>
      </x:c>
      <x:c r="L11" s="40" t="n">
        <x:f>-'07 Draft Operating Costs'!L21</x:f>
        <x:v>-24725</x:v>
      </x:c>
      <x:c r="M11" s="40" t="n">
        <x:f>-'07 Draft Operating Costs'!M21</x:f>
        <x:v>-25225</x:v>
      </x:c>
      <x:c r="N11" s="40" t="n">
        <x:f>-'07 Draft Operating Costs'!N21</x:f>
        <x:v>-24225</x:v>
      </x:c>
      <x:c r="O11" s="40" t="n">
        <x:f>-'07 Draft Operating Costs'!O21</x:f>
        <x:v>-22725</x:v>
      </x:c>
      <x:c r="P11" s="40" t="n">
        <x:f>SUM(D11:O11)</x:f>
        <x:v>-285000</x:v>
      </x:c>
    </x:row>
    <x:row r="12">
      <x:c r="B12" s="62" t="str">
        <x:v>Operating profit</x:v>
      </x:c>
      <x:c r="C12" s="62" t="str"/>
      <x:c r="D12" s="63" t="n">
        <x:f>SUM(D9,D11)</x:f>
        <x:v>26775</x:v>
      </x:c>
      <x:c r="E12" s="63" t="n">
        <x:f>SUM(E9,E11)</x:f>
        <x:v>32820</x:v>
      </x:c>
      <x:c r="F12" s="63" t="n">
        <x:f>SUM(F9,F11)</x:f>
        <x:v>39025</x:v>
      </x:c>
      <x:c r="G12" s="63" t="n">
        <x:f>SUM(G9,G11)</x:f>
        <x:v>48822.5</x:v>
      </x:c>
      <x:c r="H12" s="63" t="n">
        <x:f>SUM(H9,H11)</x:f>
        <x:v>39970</x:v>
      </x:c>
      <x:c r="I12" s="63" t="n">
        <x:f>SUM(I9,I11)</x:f>
        <x:v>42750</x:v>
      </x:c>
      <x:c r="J12" s="63" t="n">
        <x:f>SUM(J9,J11)</x:f>
        <x:v>37650</x:v>
      </x:c>
      <x:c r="K12" s="63" t="n">
        <x:f>SUM(K9,K11)</x:f>
        <x:v>64725</x:v>
      </x:c>
      <x:c r="L12" s="63" t="n">
        <x:f>SUM(L9,L11)</x:f>
        <x:v>75005</x:v>
      </x:c>
      <x:c r="M12" s="63" t="n">
        <x:f>SUM(M9,M11)</x:f>
        <x:v>90277.5</x:v>
      </x:c>
      <x:c r="N12" s="63" t="n">
        <x:f>SUM(N9,N11)</x:f>
        <x:v>69035</x:v>
      </x:c>
      <x:c r="O12" s="63" t="n">
        <x:f>SUM(O9,O11)</x:f>
        <x:v>60450</x:v>
      </x:c>
      <x:c r="P12" s="63" t="n">
        <x:f>SUM(D12:O12)</x:f>
        <x:v>627305</x:v>
      </x:c>
    </x:row>
    <x:row r="13">
      <x:c r="B13" s="62" t="str">
        <x:v>Operating margin</x:v>
      </x:c>
      <x:c r="C13" s="62" t="str"/>
      <x:c r="D13" s="64" t="n">
        <x:f>D12/D7</x:f>
        <x:v>0.48243243243243245</x:v>
      </x:c>
      <x:c r="E13" s="64" t="n">
        <x:f>E12/E7</x:f>
        <x:v>0.520952380952381</x:v>
      </x:c>
      <x:c r="F13" s="64" t="n">
        <x:f>F12/F7</x:f>
        <x:v>0.5615107913669065</x:v>
      </x:c>
      <x:c r="G13" s="64" t="n">
        <x:f>G12/G7</x:f>
        <x:v>0.6064906832298137</x:v>
      </x:c>
      <x:c r="H13" s="64" t="n">
        <x:f>H12/H7</x:f>
        <x:v>0.5877941176470588</x:v>
      </x:c>
      <x:c r="I13" s="64" t="n">
        <x:f>I12/I7</x:f>
        <x:v>0.5816326530612245</x:v>
      </x:c>
      <x:c r="J13" s="64" t="n">
        <x:f>J12/J7</x:f>
        <x:v>0.6275</x:v>
      </x:c>
      <x:c r="K13" s="64" t="n">
        <x:f>K12/K7</x:f>
        <x:v>0.7073770491803278</x:v>
      </x:c>
      <x:c r="L13" s="64" t="n">
        <x:f>L12/L7</x:f>
        <x:v>0.6608370044052864</x:v>
      </x:c>
      <x:c r="M13" s="64" t="n">
        <x:f>M12/M7</x:f>
        <x:v>0.7280443548387097</x:v>
      </x:c>
      <x:c r="N13" s="64" t="n">
        <x:f>N12/N7</x:f>
        <x:v>0.6670048309178744</x:v>
      </x:c>
      <x:c r="O13" s="64" t="n">
        <x:f>O12/O7</x:f>
        <x:v>0.6948275862068966</x:v>
      </x:c>
      <x:c r="P13" s="64" t="n">
        <x:f>P12/P7</x:f>
        <x:v>0.6339615967660435</x:v>
      </x:c>
    </x:row>
    <x:row r="14">
      <x:c r="B14" s="62" t="str">
        <x:v>Prior-year operating profit</x:v>
      </x:c>
      <x:c r="C14" s="62" t="str">
        <x:v>Historical</x:v>
      </x:c>
      <x:c r="D14" s="63" t="n">
        <x:f>'01 Prior Year P&amp;L'!D15</x:f>
        <x:v>-1350</x:v>
      </x:c>
      <x:c r="E14" s="63" t="n">
        <x:f>'01 Prior Year P&amp;L'!E15</x:f>
        <x:v>2745</x:v>
      </x:c>
      <x:c r="F14" s="63" t="n">
        <x:f>'01 Prior Year P&amp;L'!F15</x:f>
        <x:v>-795</x:v>
      </x:c>
      <x:c r="G14" s="63" t="n">
        <x:f>'01 Prior Year P&amp;L'!G15</x:f>
        <x:v>8280</x:v>
      </x:c>
      <x:c r="H14" s="63" t="n">
        <x:f>'01 Prior Year P&amp;L'!H15</x:f>
        <x:v>-1680</x:v>
      </x:c>
      <x:c r="I14" s="63" t="n">
        <x:f>'01 Prior Year P&amp;L'!I15</x:f>
        <x:v>-8650</x:v>
      </x:c>
      <x:c r="J14" s="63" t="n">
        <x:f>'01 Prior Year P&amp;L'!J15</x:f>
        <x:v>-16000</x:v>
      </x:c>
      <x:c r="K14" s="63" t="n">
        <x:f>'01 Prior Year P&amp;L'!K15</x:f>
        <x:v>-6410</x:v>
      </x:c>
      <x:c r="L14" s="63" t="n">
        <x:f>'01 Prior Year P&amp;L'!L15</x:f>
        <x:v>7355</x:v>
      </x:c>
      <x:c r="M14" s="63" t="n">
        <x:f>'01 Prior Year P&amp;L'!M15</x:f>
        <x:v>9250</x:v>
      </x:c>
      <x:c r="N14" s="63" t="n">
        <x:f>'01 Prior Year P&amp;L'!N15</x:f>
        <x:v>-4950</x:v>
      </x:c>
      <x:c r="O14" s="63" t="n">
        <x:f>'01 Prior Year P&amp;L'!O15</x:f>
        <x:v>-3450</x:v>
      </x:c>
      <x:c r="P14" s="63" t="n">
        <x:f>SUM(D14:O14)</x:f>
        <x:v>-15655</x:v>
      </x:c>
    </x:row>
    <x:row r="15">
      <x:c r="B15" s="62" t="str">
        <x:v>Change in operating profit</x:v>
      </x:c>
      <x:c r="C15" s="62" t="str">
        <x:v>EUR versus prior year</x:v>
      </x:c>
      <x:c r="D15" s="63" t="n">
        <x:f>D12-D14</x:f>
        <x:v>28125</x:v>
      </x:c>
      <x:c r="E15" s="63" t="n">
        <x:f>E12-E14</x:f>
        <x:v>30075</x:v>
      </x:c>
      <x:c r="F15" s="63" t="n">
        <x:f>F12-F14</x:f>
        <x:v>39820</x:v>
      </x:c>
      <x:c r="G15" s="63" t="n">
        <x:f>G12-G14</x:f>
        <x:v>40542.5</x:v>
      </x:c>
      <x:c r="H15" s="63" t="n">
        <x:f>H12-H14</x:f>
        <x:v>41650</x:v>
      </x:c>
      <x:c r="I15" s="63" t="n">
        <x:f>I12-I14</x:f>
        <x:v>51400</x:v>
      </x:c>
      <x:c r="J15" s="63" t="n">
        <x:f>J12-J14</x:f>
        <x:v>53650</x:v>
      </x:c>
      <x:c r="K15" s="63" t="n">
        <x:f>K12-K14</x:f>
        <x:v>71135</x:v>
      </x:c>
      <x:c r="L15" s="63" t="n">
        <x:f>L12-L14</x:f>
        <x:v>67650</x:v>
      </x:c>
      <x:c r="M15" s="63" t="n">
        <x:f>M12-M14</x:f>
        <x:v>81027.5</x:v>
      </x:c>
      <x:c r="N15" s="63" t="n">
        <x:f>N12-N14</x:f>
        <x:v>73985</x:v>
      </x:c>
      <x:c r="O15" s="63" t="n">
        <x:f>O12-O14</x:f>
        <x:v>63900</x:v>
      </x:c>
      <x:c r="P15" s="63" t="n">
        <x:f>P12-P14</x:f>
        <x:v>642960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6" hidden="0" customWidth="1"/>
    <x:col min="3" max="3" width="26" hidden="0" customWidth="1"/>
    <x:col min="4" max="4" width="19" hidden="0" customWidth="1"/>
    <x:col min="5" max="5" width="38" hidden="0" customWidth="1"/>
    <x:col min="6" max="6" width="38" hidden="0" customWidth="1"/>
    <x:col min="7" max="7" width="28" hidden="0" customWidth="1"/>
    <x:col min="8" max="8" width="18" hidden="0" customWidth="1"/>
    <x:col min="9" max="9" width="47" hidden="0" customWidth="1"/>
  </x:cols>
  <x:sheetData>
    <x:row r="2">
      <x:c r="B2" s="24" t="str">
        <x:v>Assumption Review</x:v>
      </x:c>
      <x:c r="C2" s="25"/>
      <x:c r="D2" s="25"/>
      <x:c r="E2" s="25"/>
      <x:c r="F2" s="25"/>
      <x:c r="G2" s="25"/>
      <x:c r="H2" s="25"/>
      <x:c r="I2" s="25"/>
    </x:row>
    <x:row r="3">
      <x:c r="B3" s="26" t="str">
        <x:v>Distinguish Part 1 corrections from Part 2 decisions. Cite evidence; state any assumptions you must make.</x:v>
      </x:c>
      <x:c r="C3" s="26"/>
      <x:c r="D3" s="26"/>
      <x:c r="E3" s="26"/>
      <x:c r="F3" s="26"/>
      <x:c r="G3" s="26"/>
      <x:c r="H3" s="26"/>
      <x:c r="I3" s="26"/>
    </x:row>
    <x:row r="4">
      <x:c r="B4" s="27"/>
      <x:c r="C4" s="27"/>
      <x:c r="D4" s="27"/>
      <x:c r="E4" s="27"/>
      <x:c r="F4" s="27"/>
      <x:c r="G4" s="27"/>
      <x:c r="H4" s="27"/>
      <x:c r="I4" s="27"/>
    </x:row>
    <x:row r="5">
      <x:c r="B5" s="27"/>
      <x:c r="C5" s="27"/>
      <x:c r="D5" s="27"/>
      <x:c r="E5" s="27"/>
      <x:c r="F5" s="27"/>
      <x:c r="G5" s="27"/>
      <x:c r="H5" s="27"/>
      <x:c r="I5" s="27"/>
    </x:row>
    <x:row r="6" ht="32" customHeight="1">
      <x:c r="B6" s="8" t="str">
        <x:v>No.</x:v>
      </x:c>
      <x:c r="C6" s="8" t="str">
        <x:v>Assumption</x:v>
      </x:c>
      <x:c r="D6" s="8" t="str">
        <x:v>Owner</x:v>
      </x:c>
      <x:c r="E6" s="8" t="str">
        <x:v>Evidence or source</x:v>
      </x:c>
      <x:c r="F6" s="8" t="str">
        <x:v>Conflict found</x:v>
      </x:c>
      <x:c r="G6" s="8" t="str">
        <x:v>Financial effect</x:v>
      </x:c>
      <x:c r="H6" s="8" t="str">
        <x:v>Correction or decision</x:v>
      </x:c>
      <x:c r="I6" s="8" t="str">
        <x:v>Correction / action and timing</x:v>
      </x:c>
    </x:row>
    <x:row r="7" ht="58" customHeight="1">
      <x:c r="B7" s="214" t="n">
        <x:v>1</x:v>
      </x:c>
      <x:c r="C7" s="215" t="str">
        <x:v>Original sales target</x:v>
      </x:c>
      <x:c r="D7" s="215" t="str">
        <x:v>Sales and management</x:v>
      </x:c>
      <x:c r="E7" s="215" t="str">
        <x:v>05 Draft Sales Budget!P23; 01 Prior Year P&amp;L!P7; 06 Draft Program Plan!J34</x:v>
      </x:c>
      <x:c r="F7" s="215" t="str">
        <x:v>€989.5k draft revenue implies 87.2% growth while only €170.8k is in the delivery register.</x:v>
      </x:c>
      <x:c r="G7" s="215" t="str">
        <x:v>Part 1 revenue becomes about €439.1k.</x:v>
      </x:c>
      <x:c r="H7" s="215" t="str">
        <x:v>Correction</x:v>
      </x:c>
      <x:c r="I7" s="215" t="str">
        <x:v>Rebuild monthly revenue from 2025 seller/product results, marketing support, actual staffing dates and the program-register floor.</x:v>
      </x:c>
    </x:row>
    <x:row r="8" ht="58" customHeight="1">
      <x:c r="B8" s="214" t="n">
        <x:v>2</x:v>
      </x:c>
      <x:c r="C8" s="215" t="str">
        <x:v>Anna budgeted after leaving</x:v>
      </x:c>
      <x:c r="D8" s="215" t="str">
        <x:v>Sales and HR</x:v>
      </x:c>
      <x:c r="E8" s="215" t="str">
        <x:v>06 HR and Personnel Plan p.1; 05 Draft Sales Budget!B7:P9</x:v>
      </x:c>
      <x:c r="F8" s="215" t="str">
        <x:v>Employment ends 28 Feb and no contractor agreement exists.</x:v>
      </x:c>
      <x:c r="G8" s="215" t="str">
        <x:v>Remove unsupported Mar-Dec employee sales.</x:v>
      </x:c>
      <x:c r="H8" s="215" t="str">
        <x:v>Correction</x:v>
      </x:c>
      <x:c r="I8" s="215" t="str">
        <x:v>Set Anna availability to zero from Mar in Part 1; keep only company revenue supported by the model and registered commitments.</x:v>
      </x:c>
    </x:row>
    <x:row r="9" ht="58" customHeight="1">
      <x:c r="B9" s="214" t="n">
        <x:v>3</x:v>
      </x:c>
      <x:c r="C9" s="215" t="str">
        <x:v>Ella productivity timing</x:v>
      </x:c>
      <x:c r="D9" s="215" t="str">
        <x:v>Sales and HR</x:v>
      </x:c>
      <x:c r="E9" s="215" t="str">
        <x:v>06 HR and Personnel Plan p.1; 05 Draft Sales Budget!B19:P21</x:v>
      </x:c>
      <x:c r="F9" s="215" t="str">
        <x:v>May is onboarding, Jun supervised, Jul partial and full productivity is no earlier than Aug.</x:v>
      </x:c>
      <x:c r="G9" s="215" t="str">
        <x:v>Lower Jun-Jul revenue versus the draft.</x:v>
      </x:c>
      <x:c r="H9" s="215" t="str">
        <x:v>Correction</x:v>
      </x:c>
      <x:c r="I9" s="215" t="str">
        <x:v>Use 0% in May, 25% in Jun, 50% in Jul and 100% from Aug against the experienced-seller benchmark.</x:v>
      </x:c>
    </x:row>
    <x:row r="10" ht="58" customHeight="1">
      <x:c r="B10" s="214" t="n">
        <x:v>4</x:v>
      </x:c>
      <x:c r="C10" s="215" t="str">
        <x:v>Peter improvement</x:v>
      </x:c>
      <x:c r="D10" s="215" t="str">
        <x:v>Sales</x:v>
      </x:c>
      <x:c r="E10" s="215" t="str">
        <x:v>03 Sales Director Plan p.1; 02 Prior Year Sales!B16:P18</x:v>
      </x:c>
      <x:c r="F10" s="215" t="str">
        <x:v>Coaching is planned, but no measured uplift exists.</x:v>
      </x:c>
      <x:c r="G10" s="215" t="str">
        <x:v>No unproven uplift in Part 1.</x:v>
      </x:c>
      <x:c r="H10" s="215" t="str">
        <x:v>Correction</x:v>
      </x:c>
      <x:c r="I10" s="215" t="str">
        <x:v>Use Peter's 2025 monthly run rate adjusted only for the marketing support factor.</x:v>
      </x:c>
    </x:row>
    <x:row r="11" ht="58" customHeight="1">
      <x:c r="B11" s="214" t="n">
        <x:v>5</x:v>
      </x:c>
      <x:c r="C11" s="215" t="str">
        <x:v>Marketing support</x:v>
      </x:c>
      <x:c r="D11" s="215" t="str">
        <x:v>Marketing</x:v>
      </x:c>
      <x:c r="E11" s="215" t="str">
        <x:v>04 Marketing Director Plan p.1; 03 Prior Year Marketing!D7:P12; 07 Draft Operating Costs!D11:P11</x:v>
      </x:c>
      <x:c r="F11" s="215" t="str">
        <x:v>2026 spend is €52.5k versus €65.5k in 2025 and conversion improvement is untested.</x:v>
      </x:c>
      <x:c r="G11" s="215" t="str">
        <x:v>Restrains the existing-plan sales forecast.</x:v>
      </x:c>
      <x:c r="H11" s="215" t="str">
        <x:v>Correction</x:v>
      </x:c>
      <x:c r="I11" s="215" t="str">
        <x:v>Model 75% of sales support independently and 25% in line with the monthly 2026/2025 marketing-spend index.</x:v>
      </x:c>
    </x:row>
    <x:row r="12" ht="58" customHeight="1">
      <x:c r="B12" s="214" t="n">
        <x:v>6</x:v>
      </x:c>
      <x:c r="C12" s="215" t="str">
        <x:v>Program register coverage</x:v>
      </x:c>
      <x:c r="D12" s="215" t="str">
        <x:v>Operations</x:v>
      </x:c>
      <x:c r="E12" s="215" t="str">
        <x:v>05 Operations and Trainer Plan p.1; 06 Draft Program Plan!B7:T34</x:v>
      </x:c>
      <x:c r="F12" s="215" t="str">
        <x:v>The register has 26 events and is not a complete sales pipeline.</x:v>
      </x:c>
      <x:c r="G12" s="215" t="str">
        <x:v>Registered revenue is a monthly floor, not the whole forecast.</x:v>
      </x:c>
      <x:c r="H12" s="215" t="str">
        <x:v>Correction</x:v>
      </x:c>
      <x:c r="I12" s="215" t="str">
        <x:v>Use the higher of the evidence-based sales forecast and registered-program revenue each month; do not assume every draft sales cell is signed.</x:v>
      </x:c>
    </x:row>
    <x:row r="13" ht="58" customHeight="1">
      <x:c r="B13" s="214" t="n">
        <x:v>7</x:v>
      </x:c>
      <x:c r="C13" s="215" t="str">
        <x:v>Direct cost coverage</x:v>
      </x:c>
      <x:c r="D13" s="215" t="str">
        <x:v>Finance and operations</x:v>
      </x:c>
      <x:c r="E13" s="215" t="str">
        <x:v>01 Prior Year P&amp;L!D7:P10; 06 Draft Program Plan!R34; 08 Draft P&amp;L!D7:P10</x:v>
      </x:c>
      <x:c r="F13" s="215" t="str">
        <x:v>The draft costs only registered programs, producing a 92.2% margin versus 59.5% historically.</x:v>
      </x:c>
      <x:c r="G13" s="215" t="str">
        <x:v>Part 1 direct costs become about €181.8k.</x:v>
      </x:c>
      <x:c r="H13" s="215" t="str">
        <x:v>Correction</x:v>
      </x:c>
      <x:c r="I13" s="215" t="str">
        <x:v>Cost all corrected revenue at the 2025 monthly direct-cost rate, then apply the Jul supplier-rate increase.</x:v>
      </x:c>
    </x:row>
    <x:row r="14" ht="58" customHeight="1">
      <x:c r="B14" s="214" t="n">
        <x:v>8</x:v>
      </x:c>
      <x:c r="C14" s="215" t="str">
        <x:v>Instructor rate change</x:v>
      </x:c>
      <x:c r="D14" s="215" t="str">
        <x:v>Finance</x:v>
      </x:c>
      <x:c r="E14" s="215" t="str">
        <x:v>07 Finance and Administration Notes p.1; 06 Draft Program Plan!K7:M34</x:v>
      </x:c>
      <x:c r="F14" s="215" t="str">
        <x:v>The register uses €700 all year although the rate rises 10% from 1 Jul.</x:v>
      </x:c>
      <x:c r="G14" s="215" t="str">
        <x:v>Raises Jul-Dec direct costs.</x:v>
      </x:c>
      <x:c r="H14" s="215" t="str">
        <x:v>Correction</x:v>
      </x:c>
      <x:c r="I14" s="215" t="str">
        <x:v>Apply the 10% increase to the instructor-and-assistant share of direct costs from Jul.</x:v>
      </x:c>
    </x:row>
    <x:row r="15" ht="58" customHeight="1">
      <x:c r="B15" s="214" t="n">
        <x:v>9</x:v>
      </x:c>
      <x:c r="C15" s="215" t="str">
        <x:v>Sales payroll schedule</x:v>
      </x:c>
      <x:c r="D15" s="215" t="str">
        <x:v>HR and finance</x:v>
      </x:c>
      <x:c r="E15" s="215" t="str">
        <x:v>06 HR and Personnel Plan p.1; 07 Draft Operating Costs!D7:P10</x:v>
      </x:c>
      <x:c r="F15" s="215" t="str">
        <x:v>The draft holds four sales salaries flat despite Anna leaving and Ella starting in May.</x:v>
      </x:c>
      <x:c r="G15" s="215" t="str">
        <x:v>Annual salaries and employer costs fall €4.5k.</x:v>
      </x:c>
      <x:c r="H15" s="215" t="str">
        <x:v>Correction</x:v>
      </x:c>
      <x:c r="I15" s="215" t="str">
        <x:v>Use €7.2k sales salaries Jan-Feb, €5.4k Mar-Apr and €7.2k May-Dec; payroll cost remains 25%.</x:v>
      </x:c>
    </x:row>
    <x:row r="16" ht="58" customHeight="1">
      <x:c r="B16" s="214" t="n">
        <x:v>10</x:v>
      </x:c>
      <x:c r="C16" s="215" t="str">
        <x:v>Studio depreciation</x:v>
      </x:c>
      <x:c r="D16" s="215" t="str">
        <x:v>Finance</x:v>
      </x:c>
      <x:c r="E16" s="215" t="str">
        <x:v>07 Finance and Administration Notes p.1; 07 Draft Operating Costs!D17:P17</x:v>
      </x:c>
      <x:c r="F16" s="215" t="str">
        <x:v>The €25k fit-out is capex, but its depreciation is missing.</x:v>
      </x:c>
      <x:c r="G16" s="215" t="str">
        <x:v>Add €3.33k 2026 depreciation.</x:v>
      </x:c>
      <x:c r="H16" s="215" t="str">
        <x:v>Correction</x:v>
      </x:c>
      <x:c r="I16" s="215" t="str">
        <x:v>Exclude the purchase from P&amp;L and add €416.67 per month from May-Dec on a five-year straight-line life.</x:v>
      </x:c>
    </x:row>
    <x:row r="17" ht="58" customHeight="1">
      <x:c r="B17" s="214" t="n">
        <x:v>11</x:v>
      </x:c>
      <x:c r="C17" s="215" t="str">
        <x:v>Insurance timing</x:v>
      </x:c>
      <x:c r="D17" s="215" t="str">
        <x:v>Finance</x:v>
      </x:c>
      <x:c r="E17" s="215" t="str">
        <x:v>07 Finance and Administration Notes p.1; 07 Draft Operating Costs!D15:P15</x:v>
      </x:c>
      <x:c r="F17" s="215" t="str">
        <x:v>The draft records the €1.8k annual cost entirely in Apr.</x:v>
      </x:c>
      <x:c r="G17" s="215" t="str">
        <x:v>No annual change; monthly timing changes.</x:v>
      </x:c>
      <x:c r="H17" s="215" t="str">
        <x:v>Correction</x:v>
      </x:c>
      <x:c r="I17" s="215" t="str">
        <x:v>Accrue €150 per month for a monthly management P&amp;L.</x:v>
      </x:c>
    </x:row>
    <x:row r="18" ht="58" customHeight="1">
      <x:c r="B18" s="214" t="n">
        <x:v>12</x:v>
      </x:c>
      <x:c r="C18" s="215" t="str">
        <x:v>Revenue recognition</x:v>
      </x:c>
      <x:c r="D18" s="215" t="str">
        <x:v>Sales and finance</x:v>
      </x:c>
      <x:c r="E18" s="215" t="str">
        <x:v>03 Sales Director Plan p.1; 01 Company Background and Management Targets p.1</x:v>
      </x:c>
      <x:c r="F18" s="215" t="str">
        <x:v>Revenue must follow delivery, not proposal or cash timing.</x:v>
      </x:c>
      <x:c r="G18" s="215" t="str">
        <x:v>Keeps revenue and delivery costs in the same month.</x:v>
      </x:c>
      <x:c r="H18" s="215" t="str">
        <x:v>Correction</x:v>
      </x:c>
      <x:c r="I18" s="215" t="str">
        <x:v>Recognize all forecast revenue in the expected delivery month; VAT and income tax remain outside the case.</x:v>
      </x:c>
    </x:row>
    <x:row r="19" ht="58" customHeight="1">
      <x:c r="B19" s="214" t="n">
        <x:v>13</x:v>
      </x:c>
      <x:c r="C19" s="215" t="str">
        <x:v>Open-program room capacity</x:v>
      </x:c>
      <x:c r="D19" s="215" t="str">
        <x:v>Operations</x:v>
      </x:c>
      <x:c r="E19" s="215" t="str">
        <x:v>05 Operations and Trainer Plan p.1; 14 Part 1 Build rows 31-35</x:v>
      </x:c>
      <x:c r="F19" s="215" t="str">
        <x:v>One event holds 20 paid participants; Sep-Oct forecast exceeds one event.</x:v>
      </x:c>
      <x:c r="G19" s="215" t="str">
        <x:v>Requires two event dates in those months.</x:v>
      </x:c>
      <x:c r="H19" s="215" t="str">
        <x:v>Correction</x:v>
      </x:c>
      <x:c r="I19" s="215" t="str">
        <x:v>Treat seats above 20 as a second planned event within available trainer days; direct costs and trainer-day estimates cover the extra delivery.</x:v>
      </x:c>
    </x:row>
    <x:row r="20" ht="58" customHeight="1">
      <x:c r="B20" s="214" t="n">
        <x:v>14</x:v>
      </x:c>
      <x:c r="C20" s="215" t="str">
        <x:v>Internal instructor saving</x:v>
      </x:c>
      <x:c r="D20" s="215" t="str">
        <x:v>Operations and finance</x:v>
      </x:c>
      <x:c r="E20" s="215" t="str">
        <x:v>05 Operations and Trainer Plan p.1; 06 Draft Program Plan!K7:K34</x:v>
      </x:c>
      <x:c r="F20" s="215" t="str">
        <x:v>Part 1 conservatively assumes external instructors even when internal capacity may exist.</x:v>
      </x:c>
      <x:c r="G20" s="215" t="str">
        <x:v>No saving in Part 1.</x:v>
      </x:c>
      <x:c r="H20" s="215" t="str">
        <x:v>Correction</x:v>
      </x:c>
      <x:c r="I20" s="215" t="str">
        <x:v>Retain external-rate costing in Part 1; using internal delivery is a separate Part 2 management decision.</x:v>
      </x:c>
    </x:row>
    <x:row r="21" ht="58" customHeight="1">
      <x:c r="B21" s="214" t="n">
        <x:v>15</x:v>
      </x:c>
      <x:c r="C21" s="215" t="str">
        <x:v>Client continuity contract</x:v>
      </x:c>
      <x:c r="D21" s="215" t="str">
        <x:v>Management and sales</x:v>
      </x:c>
      <x:c r="E21" s="215" t="str">
        <x:v>06 HR and Personnel Plan p.1; 02 Prior Year Sales!B7:P9</x:v>
      </x:c>
      <x:c r="F21" s="215" t="str">
        <x:v>There is no existing contractor agreement with Anna.</x:v>
      </x:c>
      <x:c r="G21" s="215" t="str">
        <x:v>+€54.9k revenue; 10% total commission.</x:v>
      </x:c>
      <x:c r="H21" s="215" t="str">
        <x:v>Decision</x:v>
      </x:c>
      <x:c r="I21" s="215" t="str">
        <x:v>Agree terms in Mar; recognize 60% of Anna's 2025 same-month revenue from May-Dec. Add only the 5-point commission premium above the embedded 5%.</x:v>
      </x:c>
    </x:row>
    <x:row r="22" ht="58" customHeight="1">
      <x:c r="B22" s="214" t="n">
        <x:v>16</x:v>
      </x:c>
      <x:c r="C22" s="215" t="str">
        <x:v>Earlier demand generation</x:v>
      </x:c>
      <x:c r="D22" s="215" t="str">
        <x:v>Management and marketing</x:v>
      </x:c>
      <x:c r="E22" s="215" t="str">
        <x:v>03 Prior Year Marketing!P7:P10; 04 Marketing Director Plan p.1</x:v>
      </x:c>
      <x:c r="F22" s="215" t="str">
        <x:v>The main Sep-Nov campaign is too late for much same-year corporate delivery.</x:v>
      </x:c>
      <x:c r="G22" s="215" t="str">
        <x:v>+€6k spend; about €35.9k revenue from five wins.</x:v>
      </x:c>
      <x:c r="H22" s="215" t="str">
        <x:v>Decision</x:v>
      </x:c>
      <x:c r="I22" s="215" t="str">
        <x:v>Add €1.5k per month Mar-Jun and weekly lead follow-up; phase five wins into Aug-Nov at the 2025 average revenue per win.</x:v>
      </x:c>
    </x:row>
    <x:row r="23" ht="58" customHeight="1">
      <x:c r="B23" s="214" t="n">
        <x:v>17</x:v>
      </x:c>
      <x:c r="C23" s="215" t="str">
        <x:v>Internal instructor allocation</x:v>
      </x:c>
      <x:c r="D23" s="215" t="str">
        <x:v>Management and operations</x:v>
      </x:c>
      <x:c r="E23" s="215" t="str">
        <x:v>05 Operations and Trainer Plan p.1; 15 Part 2 Build rows 31-36</x:v>
      </x:c>
      <x:c r="F23" s="215" t="str">
        <x:v>External instructors are costed even when internal delivery capacity is available.</x:v>
      </x:c>
      <x:c r="G23" s="215" t="str">
        <x:v>About €28.5k direct-cost saving.</x:v>
      </x:c>
      <x:c r="H23" s="215" t="str">
        <x:v>Decision</x:v>
      </x:c>
      <x:c r="I23" s="215" t="str">
        <x:v>From May, assign the internal instructor to 50% of forecast delivery days, capped by monthly capacity; book external cover 6-8 weeks ahead.</x:v>
      </x:c>
    </x:row>
    <x:row r="24" ht="58" customHeight="1">
      <x:c r="B24" s="214" t="n">
        <x:v>18</x:v>
      </x:c>
      <x:c r="C24" s="215" t="str">
        <x:v>Board decision threshold</x:v>
      </x:c>
      <x:c r="D24" s="215" t="str">
        <x:v>Board</x:v>
      </x:c>
      <x:c r="E24" s="215" t="str">
        <x:v>10 Corrected Budget!P7:P12; 12 Management Budget!P7:P12</x:v>
      </x:c>
      <x:c r="F24" s="215" t="str">
        <x:v>The original draft profit depends on unsupported revenue and missing costs.</x:v>
      </x:c>
      <x:c r="G24" s="215" t="str">
        <x:v>Part 1 loss about €26.5k; Part 2 profit about €46.0k.</x:v>
      </x:c>
      <x:c r="H24" s="215" t="str">
        <x:v>Decision</x:v>
      </x:c>
      <x:c r="I24" s="215" t="str">
        <x:v>Reject the original draft; approve the management plan subject to signed contractor terms, lead/win tracking and advance trainer bookings.</x:v>
      </x:c>
    </x:row>
    <x:row r="25">
      <x:c r="B25" s="92"/>
      <x:c r="C25" s="93"/>
      <x:c r="D25" s="93"/>
      <x:c r="E25" s="93"/>
      <x:c r="F25" s="93"/>
      <x:c r="G25" s="93"/>
      <x:c r="H25" s="93"/>
      <x:c r="I25" s="93"/>
    </x:row>
    <x:row r="26">
      <x:c r="B26" s="92"/>
      <x:c r="C26" s="93"/>
      <x:c r="D26" s="93"/>
      <x:c r="E26" s="93"/>
      <x:c r="F26" s="93"/>
      <x:c r="G26" s="93"/>
      <x:c r="H26" s="93"/>
      <x:c r="I26" s="9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Part 1 Red-pencil correction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What would the monthly result be if management kept its existing decisions? Correct the estimates, not the business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23" customHeight="1">
      <x:c r="B5" s="26" t="str">
        <x:v>Enter costs as negative numbers. Enter 0 for a genuine zero; leave unfinished months blank. Add supporting calculations.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</x:row>
    <x:row r="6">
      <x:c r="B6" s="8" t="str">
        <x:v>Budget line</x:v>
      </x:c>
      <x:c r="C6" s="8" t="str">
        <x:v>Evidence / calculation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13" t="str">
        <x:v>14 Part 1 Build row 29: 2025 seller/product results, planned marketing support, staffing dates and registered-program floor.</x:v>
      </x:c>
      <x:c r="D7" s="216" t="n">
        <x:f>'14 Part 1 Build'!D29</x:f>
        <x:v>43572.916666666664</x:v>
      </x:c>
      <x:c r="E7" s="216" t="n">
        <x:f>'14 Part 1 Build'!E29</x:f>
        <x:v>50500</x:v>
      </x:c>
      <x:c r="F7" s="216" t="n">
        <x:f>'14 Part 1 Build'!F29</x:f>
        <x:v>27326.923076923078</x:v>
      </x:c>
      <x:c r="G7" s="216" t="n">
        <x:f>'14 Part 1 Build'!G29</x:f>
        <x:v>40615.38461538462</x:v>
      </x:c>
      <x:c r="H7" s="216" t="n">
        <x:f>'14 Part 1 Build'!H29</x:f>
        <x:v>29925</x:v>
      </x:c>
      <x:c r="I7" s="216" t="n">
        <x:f>'14 Part 1 Build'!I29</x:f>
        <x:v>21514.322916666668</x:v>
      </x:c>
      <x:c r="J7" s="216" t="n">
        <x:f>'14 Part 1 Build'!J29</x:f>
        <x:v>13300</x:v>
      </x:c>
      <x:c r="K7" s="216" t="n">
        <x:f>'14 Part 1 Build'!K29</x:f>
        <x:v>31500</x:v>
      </x:c>
      <x:c r="L7" s="216" t="n">
        <x:f>'14 Part 1 Build'!L29</x:f>
        <x:v>54133.333333333336</x:v>
      </x:c>
      <x:c r="M7" s="216" t="n">
        <x:f>'14 Part 1 Build'!M29</x:f>
        <x:v>53750</x:v>
      </x:c>
      <x:c r="N7" s="216" t="n">
        <x:f>'14 Part 1 Build'!N29</x:f>
        <x:v>38948.71794871795</x:v>
      </x:c>
      <x:c r="O7" s="216" t="n">
        <x:f>'14 Part 1 Build'!O29</x:f>
        <x:v>34000</x:v>
      </x:c>
      <x:c r="P7" s="119" t="n">
        <x:f>IF(COUNT(D7:O7)=12,SUM(D7:O7),"")</x:f>
        <x:v>439086.59855769225</x:v>
      </x:c>
    </x:row>
    <x:row r="8">
      <x:c r="B8" s="27" t="str">
        <x:v>Direct program costs</x:v>
      </x:c>
      <x:c r="C8" s="213" t="str">
        <x:v>14 Part 1 Build row 41: every revenue euro uses the 2025 monthly cost rate plus the Jul supplier-rate change.</x:v>
      </x:c>
      <x:c r="D8" s="216" t="n">
        <x:f>'14 Part 1 Build'!D41</x:f>
        <x:v>-17429.166666666668</x:v>
      </x:c>
      <x:c r="E8" s="216" t="n">
        <x:f>'14 Part 1 Build'!E41</x:f>
        <x:v>-20705</x:v>
      </x:c>
      <x:c r="F8" s="216" t="n">
        <x:f>'14 Part 1 Build'!F41</x:f>
        <x:v>-10657.5</x:v>
      </x:c>
      <x:c r="G8" s="216" t="n">
        <x:f>'14 Part 1 Build'!G41</x:f>
        <x:v>-17058.46153846154</x:v>
      </x:c>
      <x:c r="H8" s="216" t="n">
        <x:f>'14 Part 1 Build'!H41</x:f>
        <x:v>-12269.25</x:v>
      </x:c>
      <x:c r="I8" s="216" t="n">
        <x:f>'14 Part 1 Build'!I41</x:f>
        <x:v>-8605.729166666668</x:v>
      </x:c>
      <x:c r="J8" s="216" t="n">
        <x:f>'14 Part 1 Build'!J41</x:f>
        <x:v>-5966.629477297753</x:v>
      </x:c>
      <x:c r="K8" s="216" t="n">
        <x:f>'14 Part 1 Build'!K41</x:f>
        <x:v>-13802.85154478917</x:v>
      </x:c>
      <x:c r="L8" s="216" t="n">
        <x:f>'14 Part 1 Build'!L41</x:f>
        <x:v>-22026.13770321912</x:v>
      </x:c>
      <x:c r="M8" s="216" t="n">
        <x:f>'14 Part 1 Build'!M41</x:f>
        <x:v>-22430.937884578016</x:v>
      </x:c>
      <x:c r="N8" s="216" t="n">
        <x:f>'14 Part 1 Build'!N41</x:f>
        <x:v>-16660.42195007316</x:v>
      </x:c>
      <x:c r="O8" s="216" t="n">
        <x:f>'14 Part 1 Build'!O41</x:f>
        <x:v>-14188.87233629121</x:v>
      </x:c>
      <x:c r="P8" s="119" t="n">
        <x:f>IF(COUNT(D8:O8)=12,SUM(D8:O8),"")</x:f>
        <x:v>-181800.95826804332</x:v>
      </x:c>
    </x:row>
    <x:row r="9">
      <x:c r="B9" s="27" t="str">
        <x:v>Contribution</x:v>
      </x:c>
      <x:c r="C9" s="213" t="str">
        <x:v>Revenue plus direct program costs.</x:v>
      </x:c>
      <x:c r="D9" s="119" t="n">
        <x:f>IF(COUNT(D7:D8)=2,SUM(D7:D8),"")</x:f>
        <x:v>26143.749999999996</x:v>
      </x:c>
      <x:c r="E9" s="119" t="n">
        <x:f>IF(COUNT(E7:E8)=2,SUM(E7:E8),"")</x:f>
        <x:v>29795</x:v>
      </x:c>
      <x:c r="F9" s="119" t="n">
        <x:f>IF(COUNT(F7:F8)=2,SUM(F7:F8),"")</x:f>
        <x:v>16669.423076923078</x:v>
      </x:c>
      <x:c r="G9" s="119" t="n">
        <x:f>IF(COUNT(G7:G8)=2,SUM(G7:G8),"")</x:f>
        <x:v>23556.923076923078</x:v>
      </x:c>
      <x:c r="H9" s="119" t="n">
        <x:f>IF(COUNT(H7:H8)=2,SUM(H7:H8),"")</x:f>
        <x:v>17655.75</x:v>
      </x:c>
      <x:c r="I9" s="119" t="n">
        <x:f>IF(COUNT(I7:I8)=2,SUM(I7:I8),"")</x:f>
        <x:v>12908.59375</x:v>
      </x:c>
      <x:c r="J9" s="119" t="n">
        <x:f>IF(COUNT(J7:J8)=2,SUM(J7:J8),"")</x:f>
        <x:v>7333.370522702247</x:v>
      </x:c>
      <x:c r="K9" s="119" t="n">
        <x:f>IF(COUNT(K7:K8)=2,SUM(K7:K8),"")</x:f>
        <x:v>17697.14845521083</x:v>
      </x:c>
      <x:c r="L9" s="119" t="n">
        <x:f>IF(COUNT(L7:L8)=2,SUM(L7:L8),"")</x:f>
        <x:v>32107.195630114216</x:v>
      </x:c>
      <x:c r="M9" s="119" t="n">
        <x:f>IF(COUNT(M7:M8)=2,SUM(M7:M8),"")</x:f>
        <x:v>31319.062115421984</x:v>
      </x:c>
      <x:c r="N9" s="119" t="n">
        <x:f>IF(COUNT(N7:N8)=2,SUM(N7:N8),"")</x:f>
        <x:v>22288.295998644793</x:v>
      </x:c>
      <x:c r="O9" s="119" t="n">
        <x:f>IF(COUNT(O7:O8)=2,SUM(O7:O8),"")</x:f>
        <x:v>19811.12766370879</x:v>
      </x:c>
      <x:c r="P9" s="119" t="n">
        <x:f>IF(COUNT(D9:O9)=12,SUM(D9:O9),"")</x:f>
        <x:v>257285.64028964902</x:v>
      </x:c>
    </x:row>
    <x:row r="10">
      <x:c r="B10" s="27" t="str">
        <x:v>Contribution margin</x:v>
      </x:c>
      <x:c r="C10" s="213" t="str">
        <x:v>Contribution divided by revenue.</x:v>
      </x:c>
      <x:c r="D10" s="120" t="n">
        <x:f>IF(AND(ISNUMBER(D9),D7&lt;&gt;0),D9/D7,"")</x:f>
        <x:v>0.6</x:v>
      </x:c>
      <x:c r="E10" s="120" t="n">
        <x:f>IF(AND(ISNUMBER(E9),E7&lt;&gt;0),E9/E7,"")</x:f>
        <x:v>0.59</x:v>
      </x:c>
      <x:c r="F10" s="120" t="n">
        <x:f>IF(AND(ISNUMBER(F9),F7&lt;&gt;0),F9/F7,"")</x:f>
        <x:v>0.61</x:v>
      </x:c>
      <x:c r="G10" s="120" t="n">
        <x:f>IF(AND(ISNUMBER(G9),G7&lt;&gt;0),G9/G7,"")</x:f>
        <x:v>0.58</x:v>
      </x:c>
      <x:c r="H10" s="120" t="n">
        <x:f>IF(AND(ISNUMBER(H9),H7&lt;&gt;0),H9/H7,"")</x:f>
        <x:v>0.59</x:v>
      </x:c>
      <x:c r="I10" s="120" t="n">
        <x:f>IF(AND(ISNUMBER(I9),I7&lt;&gt;0),I9/I7,"")</x:f>
        <x:v>0.6</x:v>
      </x:c>
      <x:c r="J10" s="120" t="n">
        <x:f>IF(AND(ISNUMBER(J9),J7&lt;&gt;0),J9/J7,"")</x:f>
        <x:v>0.5513812423084397</x:v>
      </x:c>
      <x:c r="K10" s="120" t="n">
        <x:f>IF(AND(ISNUMBER(K9),K7&lt;&gt;0),K9/K7,"")</x:f>
        <x:v>0.5618142366733597</x:v>
      </x:c>
      <x:c r="L10" s="120" t="n">
        <x:f>IF(AND(ISNUMBER(L9),L7&lt;&gt;0),L9/L7,"")</x:f>
        <x:v>0.5931132197681197</x:v>
      </x:c>
      <x:c r="M10" s="120" t="n">
        <x:f>IF(AND(ISNUMBER(M9),M7&lt;&gt;0),M9/M7,"")</x:f>
        <x:v>0.5826802254031997</x:v>
      </x:c>
      <x:c r="N10" s="120" t="n">
        <x:f>IF(AND(ISNUMBER(N9),N7&lt;&gt;0),N9/N7,"")</x:f>
        <x:v>0.5722472310382797</x:v>
      </x:c>
      <x:c r="O10" s="120" t="n">
        <x:f>IF(AND(ISNUMBER(O9),O7&lt;&gt;0),O9/O7,"")</x:f>
        <x:v>0.5826802254031997</x:v>
      </x:c>
      <x:c r="P10" s="120" t="n">
        <x:f>IF(AND(ISNUMBER(P9),P7&lt;&gt;0),P9/P7,"")</x:f>
        <x:v>0.585956485884057</x:v>
      </x:c>
    </x:row>
    <x:row r="11">
      <x:c r="B11" s="27" t="str">
        <x:v>Operating expenses</x:v>
      </x:c>
      <x:c r="C11" s="213" t="str">
        <x:v>14 Part 1 Build row 57: corrected payroll, marketing, overhead, insurance accrual and studio depreciation.</x:v>
      </x:c>
      <x:c r="D11" s="216" t="n">
        <x:f>'14 Part 1 Build'!D57</x:f>
        <x:v>-24875</x:v>
      </x:c>
      <x:c r="E11" s="216" t="n">
        <x:f>'14 Part 1 Build'!E57</x:f>
        <x:v>-24375</x:v>
      </x:c>
      <x:c r="F11" s="216" t="n">
        <x:f>'14 Part 1 Build'!F57</x:f>
        <x:v>-22125</x:v>
      </x:c>
      <x:c r="G11" s="216" t="n">
        <x:f>'14 Part 1 Build'!G57</x:f>
        <x:v>-21625</x:v>
      </x:c>
      <x:c r="H11" s="216" t="n">
        <x:f>'14 Part 1 Build'!H57</x:f>
        <x:v>-23791.666666666668</x:v>
      </x:c>
      <x:c r="I11" s="216" t="n">
        <x:f>'14 Part 1 Build'!I57</x:f>
        <x:v>-23291.666666666668</x:v>
      </x:c>
      <x:c r="J11" s="216" t="n">
        <x:f>'14 Part 1 Build'!J57</x:f>
        <x:v>-21791.666666666668</x:v>
      </x:c>
      <x:c r="K11" s="216" t="n">
        <x:f>'14 Part 1 Build'!K57</x:f>
        <x:v>-22791.666666666668</x:v>
      </x:c>
      <x:c r="L11" s="216" t="n">
        <x:f>'14 Part 1 Build'!L57</x:f>
        <x:v>-25291.666666666668</x:v>
      </x:c>
      <x:c r="M11" s="216" t="n">
        <x:f>'14 Part 1 Build'!M57</x:f>
        <x:v>-25791.666666666668</x:v>
      </x:c>
      <x:c r="N11" s="216" t="n">
        <x:f>'14 Part 1 Build'!N57</x:f>
        <x:v>-24791.666666666668</x:v>
      </x:c>
      <x:c r="O11" s="216" t="n">
        <x:f>'14 Part 1 Build'!O57</x:f>
        <x:v>-23291.666666666668</x:v>
      </x:c>
      <x:c r="P11" s="119" t="n">
        <x:f>IF(COUNT(D11:O11)=12,SUM(D11:O11),"")</x:f>
        <x:v>-283833.3333333333</x:v>
      </x:c>
    </x:row>
    <x:row r="12">
      <x:c r="B12" s="27" t="str">
        <x:v>Operating profit</x:v>
      </x:c>
      <x:c r="C12" s="213" t="str">
        <x:v>Contribution plus operating expenses.</x:v>
      </x:c>
      <x:c r="D12" s="119" t="n">
        <x:f>IF(AND(ISNUMBER(D9),ISNUMBER(D11)),SUM(D9,D11),"")</x:f>
        <x:v>1268.7499999999964</x:v>
      </x:c>
      <x:c r="E12" s="119" t="n">
        <x:f>IF(AND(ISNUMBER(E9),ISNUMBER(E11)),SUM(E9,E11),"")</x:f>
        <x:v>5420</x:v>
      </x:c>
      <x:c r="F12" s="119" t="n">
        <x:f>IF(AND(ISNUMBER(F9),ISNUMBER(F11)),SUM(F9,F11),"")</x:f>
        <x:v>-5455.576923076922</x:v>
      </x:c>
      <x:c r="G12" s="119" t="n">
        <x:f>IF(AND(ISNUMBER(G9),ISNUMBER(G11)),SUM(G9,G11),"")</x:f>
        <x:v>1931.923076923078</x:v>
      </x:c>
      <x:c r="H12" s="119" t="n">
        <x:f>IF(AND(ISNUMBER(H9),ISNUMBER(H11)),SUM(H9,H11),"")</x:f>
        <x:v>-6135.916666666668</x:v>
      </x:c>
      <x:c r="I12" s="119" t="n">
        <x:f>IF(AND(ISNUMBER(I9),ISNUMBER(I11)),SUM(I9,I11),"")</x:f>
        <x:v>-10383.072916666668</x:v>
      </x:c>
      <x:c r="J12" s="119" t="n">
        <x:f>IF(AND(ISNUMBER(J9),ISNUMBER(J11)),SUM(J9,J11),"")</x:f>
        <x:v>-14458.29614396442</x:v>
      </x:c>
      <x:c r="K12" s="119" t="n">
        <x:f>IF(AND(ISNUMBER(K9),ISNUMBER(K11)),SUM(K9,K11),"")</x:f>
        <x:v>-5094.518211455837</x:v>
      </x:c>
      <x:c r="L12" s="119" t="n">
        <x:f>IF(AND(ISNUMBER(L9),ISNUMBER(L11)),SUM(L9,L11),"")</x:f>
        <x:v>6815.528963447548</x:v>
      </x:c>
      <x:c r="M12" s="119" t="n">
        <x:f>IF(AND(ISNUMBER(M9),ISNUMBER(M11)),SUM(M9,M11),"")</x:f>
        <x:v>5527.3954487553165</x:v>
      </x:c>
      <x:c r="N12" s="119" t="n">
        <x:f>IF(AND(ISNUMBER(N9),ISNUMBER(N11)),SUM(N9,N11),"")</x:f>
        <x:v>-2503.3706680218747</x:v>
      </x:c>
      <x:c r="O12" s="119" t="n">
        <x:f>IF(AND(ISNUMBER(O9),ISNUMBER(O11)),SUM(O9,O11),"")</x:f>
        <x:v>-3480.5390029578775</x:v>
      </x:c>
      <x:c r="P12" s="119" t="n">
        <x:f>IF(COUNT(D12:O12)=12,SUM(D12:O12),"")</x:f>
        <x:v>-26547.69304368433</x:v>
      </x:c>
    </x:row>
    <x:row r="13">
      <x:c r="B13" s="27" t="str">
        <x:v>Operating margin</x:v>
      </x:c>
      <x:c r="C13" s="213" t="str">
        <x:v>Operating profit divided by revenue.</x:v>
      </x:c>
      <x:c r="D13" s="120" t="n">
        <x:f>IF(AND(ISNUMBER(D12),D7&lt;&gt;0),D12/D7,"")</x:f>
        <x:v>0.02911785799665304</x:v>
      </x:c>
      <x:c r="E13" s="120" t="n">
        <x:f>IF(AND(ISNUMBER(E12),E7&lt;&gt;0),E12/E7,"")</x:f>
        <x:v>0.10732673267326732</x:v>
      </x:c>
      <x:c r="F13" s="120" t="n">
        <x:f>IF(AND(ISNUMBER(F12),F7&lt;&gt;0),F12/F7,"")</x:f>
        <x:v>-0.19964109781843767</x:v>
      </x:c>
      <x:c r="G13" s="120" t="n">
        <x:f>IF(AND(ISNUMBER(G12),G7&lt;&gt;0),G12/G7,"")</x:f>
        <x:v>0.0475662878787879</x:v>
      </x:c>
      <x:c r="H13" s="120" t="n">
        <x:f>IF(AND(ISNUMBER(H12),H7&lt;&gt;0),H12/H7,"")</x:f>
        <x:v>-0.20504316346421614</x:v>
      </x:c>
      <x:c r="I13" s="120" t="n">
        <x:f>IF(AND(ISNUMBER(I12),I7&lt;&gt;0),I12/I7,"")</x:f>
        <x:v>-0.48261211644374513</x:v>
      </x:c>
      <x:c r="J13" s="120" t="n">
        <x:f>IF(AND(ISNUMBER(J12),J7&lt;&gt;0),J12/J7,"")</x:f>
        <x:v>-1.0870899356364225</x:v>
      </x:c>
      <x:c r="K13" s="120" t="n">
        <x:f>IF(AND(ISNUMBER(K12),K7&lt;&gt;0),K12/K7,"")</x:f>
        <x:v>-0.16173073687161388</x:v>
      </x:c>
      <x:c r="L13" s="120" t="n">
        <x:f>IF(AND(ISNUMBER(L12),L7&lt;&gt;0),L12/L7,"")</x:f>
        <x:v>0.1259026286351148</x:v>
      </x:c>
      <x:c r="M13" s="120" t="n">
        <x:f>IF(AND(ISNUMBER(M12),M7&lt;&gt;0),M12/M7,"")</x:f>
        <x:v>0.10283526416288961</x:v>
      </x:c>
      <x:c r="N13" s="120" t="n">
        <x:f>IF(AND(ISNUMBER(N12),N7&lt;&gt;0),N12/N7,"")</x:f>
        <x:v>-0.06427350628890922</x:v>
      </x:c>
      <x:c r="O13" s="120" t="n">
        <x:f>IF(AND(ISNUMBER(O12),O7&lt;&gt;0),O12/O7,"")</x:f>
        <x:v>-0.10236879420464345</x:v>
      </x:c>
      <x:c r="P13" s="120" t="n">
        <x:f>IF(AND(ISNUMBER(P12),P7&lt;&gt;0),P12/P7,"")</x:f>
        <x:v>-0.060461178115861325</x:v>
      </x:c>
    </x:row>
    <x:row r="14">
      <x:c r="B14" s="27" t="str">
        <x:v>Trainer days required</x:v>
      </x:c>
      <x:c r="C14" s="213" t="str">
        <x:v>14 Part 1 Build row 35: 2025 trainer-days-per-euro productivity applied to corrected revenue.</x:v>
      </x:c>
      <x:c r="D14" s="218" t="n">
        <x:f>'14 Part 1 Build'!D35</x:f>
        <x:v>8.904210028382213</x:v>
      </x:c>
      <x:c r="E14" s="218" t="n">
        <x:f>'14 Part 1 Build'!E35</x:f>
        <x:v>10.319772942289498</x:v>
      </x:c>
      <x:c r="F14" s="218" t="n">
        <x:f>'14 Part 1 Build'!F35</x:f>
        <x:v>5.584309730005095</x:v>
      </x:c>
      <x:c r="G14" s="218" t="n">
        <x:f>'14 Part 1 Build'!G35</x:f>
        <x:v>8.299832617713413</x:v>
      </x:c>
      <x:c r="H14" s="218" t="n">
        <x:f>'14 Part 1 Build'!H35</x:f>
        <x:v>6.115231788079471</x:v>
      </x:c>
      <x:c r="I14" s="218" t="n">
        <x:f>'14 Part 1 Build'!I35</x:f>
        <x:v>4.396493614001892</x:v>
      </x:c>
      <x:c r="J14" s="218" t="n">
        <x:f>'14 Part 1 Build'!J35</x:f>
        <x:v>2.717880794701987</x:v>
      </x:c>
      <x:c r="K14" s="218" t="n">
        <x:f>'14 Part 1 Build'!K35</x:f>
        <x:v>6.437086092715232</x:v>
      </x:c>
      <x:c r="L14" s="218" t="n">
        <x:f>'14 Part 1 Build'!L35</x:f>
        <x:v>11.06225165562914</x:v>
      </x:c>
      <x:c r="M14" s="218" t="n">
        <x:f>'14 Part 1 Build'!M35</x:f>
        <x:v>10.98391674550615</x:v>
      </x:c>
      <x:c r="N14" s="218" t="n">
        <x:f>'14 Part 1 Build'!N35</x:f>
        <x:v>7.959246051961285</x:v>
      </x:c>
      <x:c r="O14" s="218" t="n">
        <x:f>'14 Part 1 Build'!O35</x:f>
        <x:v>6.947965941343425</x:v>
      </x:c>
      <x:c r="P14" s="219" t="n">
        <x:f>IF(COUNT(D14:O14)=12,SUM(D14:O14),"")</x:f>
        <x:v>89.72819800232881</x:v>
      </x:c>
    </x:row>
    <x:row r="15">
      <x:c r="B15" s="27" t="str">
        <x:v>Open seats sold</x:v>
      </x:c>
      <x:c r="C15" s="213" t="str">
        <x:v>14 Part 1 Build row 33: forecast open-seat revenue divided by 2025 revenue per seat.</x:v>
      </x:c>
      <x:c r="D15" s="220" t="n">
        <x:f>'14 Part 1 Build'!D33</x:f>
        <x:v>13</x:v>
      </x:c>
      <x:c r="E15" s="220" t="n">
        <x:f>'14 Part 1 Build'!E33</x:f>
        <x:v>19</x:v>
      </x:c>
      <x:c r="F15" s="220" t="n">
        <x:f>'14 Part 1 Build'!F33</x:f>
        <x:v>11</x:v>
      </x:c>
      <x:c r="G15" s="220" t="n">
        <x:f>'14 Part 1 Build'!G33</x:f>
        <x:v>19</x:v>
      </x:c>
      <x:c r="H15" s="220" t="n">
        <x:f>'14 Part 1 Build'!H33</x:f>
        <x:v>15</x:v>
      </x:c>
      <x:c r="I15" s="220" t="n">
        <x:f>'14 Part 1 Build'!I33</x:f>
        <x:v>10</x:v>
      </x:c>
      <x:c r="J15" s="220" t="n">
        <x:f>'14 Part 1 Build'!J33</x:f>
        <x:v>4</x:v>
      </x:c>
      <x:c r="K15" s="220" t="n">
        <x:f>'14 Part 1 Build'!K33</x:f>
        <x:v>10</x:v>
      </x:c>
      <x:c r="L15" s="220" t="n">
        <x:f>'14 Part 1 Build'!L33</x:f>
        <x:v>24</x:v>
      </x:c>
      <x:c r="M15" s="220" t="n">
        <x:f>'14 Part 1 Build'!M33</x:f>
        <x:v>29</x:v>
      </x:c>
      <x:c r="N15" s="220" t="n">
        <x:f>'14 Part 1 Build'!N33</x:f>
        <x:v>19</x:v>
      </x:c>
      <x:c r="O15" s="220" t="n">
        <x:f>'14 Part 1 Build'!O33</x:f>
        <x:v>16</x:v>
      </x:c>
      <x:c r="P15" s="221" t="n">
        <x:f>IF(COUNT(D15:O15)=12,SUM(D15:O15),"")</x:f>
        <x:v>189</x:v>
      </x:c>
    </x:row>
    <x:row r="17" ht="24" customHeight="1">
      <x:c r="B17" s="107" t="str">
        <x:v>Yellow cells are your inputs or working formulas. Blue-grey cells calculate totals. Explain how sales, capacity and costs fit.</x:v>
      </x:c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7"/>
      <x:c r="P17" s="10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B2" s="24" t="str">
        <x:v>Part 2 Management decisions</x:v>
      </x:c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State what you will change before building sheet 12. For each decision: action, starting month, cost, expected effect and basis.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B5" s="26" t="str">
        <x:v>Record your main decisions below; add rows if needed. Do not treat new actions as Part 1 corrections.</x:v>
      </x:c>
      <x:c r="C5" s="26"/>
      <x:c r="D5" s="26"/>
      <x:c r="E5" s="26"/>
      <x:c r="F5" s="26"/>
      <x:c r="G5" s="26"/>
      <x:c r="H5" s="26"/>
      <x:c r="I5" s="26"/>
      <x:c r="J5" s="26"/>
    </x:row>
    <x:row r="6" ht="82" customHeight="1">
      <x:c r="B6" s="28" t="str">
        <x:v>Board recommendation</x:v>
      </x:c>
      <x:c r="C6" s="222" t="str">
        <x:v>Reject the original draft. Approve the management plan as a controlled recovery, conditional on signed Anna contractor terms, monthly lead and win tracking, and trainer bookings 6-8 weeks before delivery. Review performance after June and stop extra marketing if qualified leads lag the historical conversion rate.</x:v>
      </x:c>
      <x:c r="D6" s="222"/>
      <x:c r="E6" s="222"/>
      <x:c r="F6" s="222"/>
      <x:c r="G6" s="222"/>
      <x:c r="H6" s="222"/>
      <x:c r="I6" s="222"/>
      <x:c r="J6" s="222"/>
    </x:row>
    <x:row r="7" ht="34" customHeight="1">
      <x:c r="B7" s="28" t="str">
        <x:v>Part 1 annual revenue</x:v>
      </x:c>
      <x:c r="C7" s="142" t="n">
        <x:f>IF(ISNUMBER('10 Corrected Budget'!P7),'10 Corrected Budget'!P7,"")</x:f>
        <x:v>439086.59855769225</x:v>
      </x:c>
      <x:c r="D7" s="142"/>
      <x:c r="E7" s="142"/>
      <x:c r="F7" s="142"/>
      <x:c r="G7" s="142"/>
      <x:c r="H7" s="142"/>
      <x:c r="I7" s="142"/>
      <x:c r="J7" s="142"/>
    </x:row>
    <x:row r="8" ht="34" customHeight="1">
      <x:c r="B8" s="28" t="str">
        <x:v>Part 1 annual profit</x:v>
      </x:c>
      <x:c r="C8" s="142" t="n">
        <x:f>IF(ISNUMBER('10 Corrected Budget'!P12),'10 Corrected Budget'!P12,"")</x:f>
        <x:v>-26547.69304368433</x:v>
      </x:c>
      <x:c r="D8" s="142"/>
      <x:c r="E8" s="142"/>
      <x:c r="F8" s="142"/>
      <x:c r="G8" s="142"/>
      <x:c r="H8" s="142"/>
      <x:c r="I8" s="142"/>
      <x:c r="J8" s="142"/>
    </x:row>
    <x:row r="9" ht="34" customHeight="1">
      <x:c r="B9" s="28" t="str">
        <x:v>Part 2 annual revenue</x:v>
      </x:c>
      <x:c r="C9" s="142" t="n">
        <x:f>IF(ISNUMBER('12 Management Budget'!P7),'12 Management Budget'!P7,"")</x:f>
        <x:v>529934.8744197612</x:v>
      </x:c>
      <x:c r="D9" s="142"/>
      <x:c r="E9" s="142"/>
      <x:c r="F9" s="142"/>
      <x:c r="G9" s="142"/>
      <x:c r="H9" s="142"/>
      <x:c r="I9" s="142"/>
      <x:c r="J9" s="142"/>
    </x:row>
    <x:row r="10" ht="34" customHeight="1">
      <x:c r="B10" s="28" t="str">
        <x:v>Part 2 annual profit</x:v>
      </x:c>
      <x:c r="C10" s="142" t="n">
        <x:f>IF(ISNUMBER('12 Management Budget'!P12),'12 Management Budget'!P12,"")</x:f>
        <x:v>46011.46551177761</x:v>
      </x:c>
      <x:c r="D10" s="142"/>
      <x:c r="E10" s="142"/>
      <x:c r="F10" s="142"/>
      <x:c r="G10" s="142"/>
      <x:c r="H10" s="142"/>
      <x:c r="I10" s="142"/>
      <x:c r="J10" s="142"/>
    </x:row>
    <x:row r="11" ht="88" customHeight="1">
      <x:c r="B11" s="28" t="str">
        <x:v>Decision 1</x:v>
      </x:c>
      <x:c r="C11" s="222" t="str">
        <x:v>Decision 1 - Client continuity contract. Agree an independent-contractor arrangement with Anna in March at 10% commission on attributable delivered revenue. After the normal sales cycle, budget 60% of her 2025 same-month revenue from May-Dec. The base direct-cost rate already includes 5% sales commission, so the model adds only the 5-point premium.</x:v>
      </x:c>
      <x:c r="D11" s="222"/>
      <x:c r="E11" s="222"/>
      <x:c r="F11" s="222"/>
      <x:c r="G11" s="222"/>
      <x:c r="H11" s="222"/>
      <x:c r="I11" s="222"/>
      <x:c r="J11" s="222"/>
    </x:row>
    <x:row r="12" ht="88" customHeight="1">
      <x:c r="B12" s="28" t="str">
        <x:v>Decision 2</x:v>
      </x:c>
      <x:c r="C12" s="222" t="str">
        <x:v>Decision 2 - Earlier demand generation. Add €1,500 per month from March through June and enforce weekly lead ownership. At the 2025 cost per corporate win, the €6,000 spend supports five wins; budget them in Aug-Nov at the 2025 average revenue per win, after the stated sales cycle.</x:v>
      </x:c>
      <x:c r="D12" s="222"/>
      <x:c r="E12" s="222"/>
      <x:c r="F12" s="222"/>
      <x:c r="G12" s="222"/>
      <x:c r="H12" s="222"/>
      <x:c r="I12" s="222"/>
      <x:c r="J12" s="222"/>
    </x:row>
    <x:row r="13" ht="88" customHeight="1">
      <x:c r="B13" s="28" t="str">
        <x:v>Decision 3</x:v>
      </x:c>
      <x:c r="C13" s="222" t="str">
        <x:v>Decision 3 - Internal instructor allocation. From May, schedule the internal senior instructor for 50% of forecast delivery days, never above the monthly capacity in the operations plan. Book external instructors 6-8 weeks ahead for the remaining days. The avoided external fee is included as a direct-cost saving.</x:v>
      </x:c>
      <x:c r="D13" s="222"/>
      <x:c r="E13" s="222"/>
      <x:c r="F13" s="222"/>
      <x:c r="G13" s="222"/>
      <x:c r="H13" s="222"/>
      <x:c r="I13" s="222"/>
      <x:c r="J13" s="222"/>
    </x:row>
    <x:row r="14" ht="88" customHeight="1">
      <x:c r="B14" s="28" t="str">
        <x:v>Main remaining risk</x:v>
      </x:c>
      <x:c r="C14" s="222" t="str">
        <x:v>Main remaining risk - The recovery depends on renewing Anna's client relationships and converting the earlier campaign at the historical rate. October delivery also exceeds internal instructor capacity, so external cover and a second open-program date must be secured early. The plan should be reforecast monthly from signed delivery dates.</x:v>
      </x:c>
      <x:c r="D14" s="222"/>
      <x:c r="E14" s="222"/>
      <x:c r="F14" s="222"/>
      <x:c r="G14" s="222"/>
      <x:c r="H14" s="222"/>
      <x:c r="I14" s="222"/>
      <x:c r="J14" s="222"/>
    </x:row>
  </x:sheetData>
  <x:mergeCells>
    <x:mergeCell ref="C6:J6"/>
    <x:mergeCell ref="C7:J7"/>
    <x:mergeCell ref="C8:J8"/>
    <x:mergeCell ref="C9:J9"/>
    <x:mergeCell ref="C10:J10"/>
    <x:mergeCell ref="C11:J11"/>
    <x:mergeCell ref="C12:J12"/>
    <x:mergeCell ref="C13:J13"/>
    <x:mergeCell ref="C14:J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28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/>
      <x:c r="B2" s="106" t="str">
        <x:v>Part 2 Management decisions and budget</x:v>
      </x:c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A3"/>
      <x:c r="B3" s="107" t="str">
        <x:v>Build a new monthly P&amp;L from Part 1 plus the management decisions recorded in sheet 11. Include their costs and timing.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A4"/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 s="103"/>
      <x:c r="P4" s="103"/>
    </x:row>
    <x:row r="5" ht="23" customHeight="1">
      <x:c r="A5"/>
      <x:c r="B5" s="107" t="str">
        <x:v>Enter costs as negative numbers. Enter 0 for a genuine zero; leave unfinished months blank. Add supporting calculations.</x:v>
      </x:c>
      <x:c r="C5" s="107"/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</x:row>
    <x:row r="6">
      <x:c r="A6"/>
      <x:c r="B6" s="111" t="str">
        <x:v>Budget line</x:v>
      </x:c>
      <x:c r="C6" s="111" t="str">
        <x:v>Decision / calculation</x:v>
      </x:c>
      <x:c r="D6" s="111" t="str">
        <x:v>Jan</x:v>
      </x:c>
      <x:c r="E6" s="111" t="str">
        <x:v>Feb</x:v>
      </x:c>
      <x:c r="F6" s="111" t="str">
        <x:v>Mar</x:v>
      </x:c>
      <x:c r="G6" s="111" t="str">
        <x:v>Apr</x:v>
      </x:c>
      <x:c r="H6" s="111" t="str">
        <x:v>May</x:v>
      </x:c>
      <x:c r="I6" s="111" t="str">
        <x:v>Jun</x:v>
      </x:c>
      <x:c r="J6" s="111" t="str">
        <x:v>Jul</x:v>
      </x:c>
      <x:c r="K6" s="111" t="str">
        <x:v>Aug</x:v>
      </x:c>
      <x:c r="L6" s="111" t="str">
        <x:v>Sep</x:v>
      </x:c>
      <x:c r="M6" s="111" t="str">
        <x:v>Oct</x:v>
      </x:c>
      <x:c r="N6" s="111" t="str">
        <x:v>Nov</x:v>
      </x:c>
      <x:c r="O6" s="111" t="str">
        <x:v>Dec</x:v>
      </x:c>
      <x:c r="P6" s="111" t="str">
        <x:v>FY Total</x:v>
      </x:c>
    </x:row>
    <x:row r="7">
      <x:c r="A7"/>
      <x:c r="B7" s="112" t="str">
        <x:v>Revenue</x:v>
      </x:c>
      <x:c r="C7" s="225" t="str">
        <x:v>15 Part 2 Build row 39: Part 1 plus the client continuity contract and earlier campaign wins.</x:v>
      </x:c>
      <x:c r="D7" s="227" t="n">
        <x:f>'15 Part 2 Build'!D39</x:f>
        <x:v>43572.916666666664</x:v>
      </x:c>
      <x:c r="E7" s="227" t="n">
        <x:f>'15 Part 2 Build'!E39</x:f>
        <x:v>50500</x:v>
      </x:c>
      <x:c r="F7" s="227" t="n">
        <x:f>'15 Part 2 Build'!F39</x:f>
        <x:v>27326.923076923078</x:v>
      </x:c>
      <x:c r="G7" s="227" t="n">
        <x:f>'15 Part 2 Build'!G39</x:f>
        <x:v>40615.38461538462</x:v>
      </x:c>
      <x:c r="H7" s="227" t="n">
        <x:f>'15 Part 2 Build'!H39</x:f>
        <x:v>36825</x:v>
      </x:c>
      <x:c r="I7" s="227" t="n">
        <x:f>'15 Part 2 Build'!I39</x:f>
        <x:v>26614.322916666668</x:v>
      </x:c>
      <x:c r="J7" s="227" t="n">
        <x:f>'15 Part 2 Build'!J39</x:f>
        <x:v>15100</x:v>
      </x:c>
      <x:c r="K7" s="227" t="n">
        <x:f>'15 Part 2 Build'!K39</x:f>
        <x:v>43789.6551724138</x:v>
      </x:c>
      <x:c r="L7" s="227" t="n">
        <x:f>'15 Part 2 Build'!L39</x:f>
        <x:v>71522.98850574713</x:v>
      </x:c>
      <x:c r="M7" s="227" t="n">
        <x:f>'15 Part 2 Build'!M39</x:f>
        <x:v>81629.3103448276</x:v>
      </x:c>
      <x:c r="N7" s="227" t="n">
        <x:f>'15 Part 2 Build'!N39</x:f>
        <x:v>51538.37312113175</x:v>
      </x:c>
      <x:c r="O7" s="227" t="n">
        <x:f>'15 Part 2 Build'!O39</x:f>
        <x:v>40900</x:v>
      </x:c>
      <x:c r="P7" s="132" t="n">
        <x:f>IF(COUNT(D7:O7)=12,SUM(D7:O7),"")</x:f>
        <x:v>529934.8744197612</x:v>
      </x:c>
    </x:row>
    <x:row r="8">
      <x:c r="A8"/>
      <x:c r="B8" s="112" t="str">
        <x:v>Direct program costs</x:v>
      </x:c>
      <x:c r="C8" s="225" t="str">
        <x:v>15 Part 2 Build row 40: incremental delivery and commission costs, less internal-instructor savings.</x:v>
      </x:c>
      <x:c r="D8" s="227" t="n">
        <x:f>'15 Part 2 Build'!D40</x:f>
        <x:v>-17429.166666666668</x:v>
      </x:c>
      <x:c r="E8" s="227" t="n">
        <x:f>'15 Part 2 Build'!E40</x:f>
        <x:v>-20705</x:v>
      </x:c>
      <x:c r="F8" s="227" t="n">
        <x:f>'15 Part 2 Build'!F40</x:f>
        <x:v>-10657.5</x:v>
      </x:c>
      <x:c r="G8" s="227" t="n">
        <x:f>'15 Part 2 Build'!G40</x:f>
        <x:v>-17058.46153846154</x:v>
      </x:c>
      <x:c r="H8" s="227" t="n">
        <x:f>'15 Part 2 Build'!H40</x:f>
        <x:v>-12809.408940397352</x:v>
      </x:c>
      <x:c r="I8" s="227" t="n">
        <x:f>'15 Part 2 Build'!I40</x:f>
        <x:v>-8997.188189845476</x:v>
      </x:c>
      <x:c r="J8" s="227" t="n">
        <x:f>'15 Part 2 Build'!J40</x:f>
        <x:v>-5676.143241142561</x:v>
      </x:c>
      <x:c r="K8" s="227" t="n">
        <x:f>'15 Part 2 Build'!K40</x:f>
        <x:v>-15997.830607016118</x:v>
      </x:c>
      <x:c r="L8" s="227" t="n">
        <x:f>'15 Part 2 Build'!L40</x:f>
        <x:v>-23984.65186031241</x:v>
      </x:c>
      <x:c r="M8" s="227" t="n">
        <x:f>'15 Part 2 Build'!M40</x:f>
        <x:v>-28318.298857856953</x:v>
      </x:c>
      <x:c r="N8" s="227" t="n">
        <x:f>'15 Part 2 Build'!N40</x:f>
        <x:v>-18260.87470651167</x:v>
      </x:c>
      <x:c r="O8" s="227" t="n">
        <x:f>'15 Part 2 Build'!O40</x:f>
        <x:v>-14195.550966439594</x:v>
      </x:c>
      <x:c r="P8" s="132" t="n">
        <x:f>IF(COUNT(D8:O8)=12,SUM(D8:O8),"")</x:f>
        <x:v>-194090.07557465034</x:v>
      </x:c>
    </x:row>
    <x:row r="9">
      <x:c r="A9"/>
      <x:c r="B9" s="112" t="str">
        <x:v>Contribution</x:v>
      </x:c>
      <x:c r="C9" s="225" t="str">
        <x:v>Revenue plus direct program costs.</x:v>
      </x:c>
      <x:c r="D9" s="133" t="n">
        <x:f>IF(COUNT(D7:D8)=2,SUM(D7:D8),"")</x:f>
        <x:v>26143.749999999996</x:v>
      </x:c>
      <x:c r="E9" s="133" t="n">
        <x:f>IF(COUNT(E7:E8)=2,SUM(E7:E8),"")</x:f>
        <x:v>29795</x:v>
      </x:c>
      <x:c r="F9" s="133" t="n">
        <x:f>IF(COUNT(F7:F8)=2,SUM(F7:F8),"")</x:f>
        <x:v>16669.423076923078</x:v>
      </x:c>
      <x:c r="G9" s="133" t="n">
        <x:f>IF(COUNT(G7:G8)=2,SUM(G7:G8),"")</x:f>
        <x:v>23556.923076923078</x:v>
      </x:c>
      <x:c r="H9" s="133" t="n">
        <x:f>IF(COUNT(H7:H8)=2,SUM(H7:H8),"")</x:f>
        <x:v>24015.591059602648</x:v>
      </x:c>
      <x:c r="I9" s="133" t="n">
        <x:f>IF(COUNT(I7:I8)=2,SUM(I7:I8),"")</x:f>
        <x:v>17617.13472682119</x:v>
      </x:c>
      <x:c r="J9" s="133" t="n">
        <x:f>IF(COUNT(J7:J8)=2,SUM(J7:J8),"")</x:f>
        <x:v>9423.856758857439</x:v>
      </x:c>
      <x:c r="K9" s="133" t="n">
        <x:f>IF(COUNT(K7:K8)=2,SUM(K7:K8),"")</x:f>
        <x:v>27791.824565397677</x:v>
      </x:c>
      <x:c r="L9" s="133" t="n">
        <x:f>IF(COUNT(L7:L8)=2,SUM(L7:L8),"")</x:f>
        <x:v>47538.33664543471</x:v>
      </x:c>
      <x:c r="M9" s="133" t="n">
        <x:f>IF(COUNT(M7:M8)=2,SUM(M7:M8),"")</x:f>
        <x:v>53311.011486970645</x:v>
      </x:c>
      <x:c r="N9" s="133" t="n">
        <x:f>IF(COUNT(N7:N8)=2,SUM(N7:N8),"")</x:f>
        <x:v>33277.49841462008</x:v>
      </x:c>
      <x:c r="O9" s="133" t="n">
        <x:f>IF(COUNT(O7:O8)=2,SUM(O7:O8),"")</x:f>
        <x:v>26704.449033560406</x:v>
      </x:c>
      <x:c r="P9" s="133" t="n">
        <x:f>IF(COUNT(D9:O9)=12,SUM(D9:O9),"")</x:f>
        <x:v>335844.7988451109</x:v>
      </x:c>
    </x:row>
    <x:row r="10">
      <x:c r="A10"/>
      <x:c r="B10" s="112" t="str">
        <x:v>Contribution margin</x:v>
      </x:c>
      <x:c r="C10" s="225" t="str">
        <x:v>Contribution divided by revenue.</x:v>
      </x:c>
      <x:c r="D10" s="135" t="n">
        <x:f>IF(AND(ISNUMBER(D9),D7&lt;&gt;0),D9/D7,"")</x:f>
        <x:v>0.6</x:v>
      </x:c>
      <x:c r="E10" s="135" t="n">
        <x:f>IF(AND(ISNUMBER(E9),E7&lt;&gt;0),E9/E7,"")</x:f>
        <x:v>0.59</x:v>
      </x:c>
      <x:c r="F10" s="135" t="n">
        <x:f>IF(AND(ISNUMBER(F9),F7&lt;&gt;0),F9/F7,"")</x:f>
        <x:v>0.61</x:v>
      </x:c>
      <x:c r="G10" s="135" t="n">
        <x:f>IF(AND(ISNUMBER(G9),G7&lt;&gt;0),G9/G7,"")</x:f>
        <x:v>0.58</x:v>
      </x:c>
      <x:c r="H10" s="135" t="n">
        <x:f>IF(AND(ISNUMBER(H9),H7&lt;&gt;0),H9/H7,"")</x:f>
        <x:v>0.6521545433700651</x:v>
      </x:c>
      <x:c r="I10" s="135" t="n">
        <x:f>IF(AND(ISNUMBER(I9),I7&lt;&gt;0),I9/I7,"")</x:f>
        <x:v>0.661941871750148</x:v>
      </x:c>
      <x:c r="J10" s="135" t="n">
        <x:f>IF(AND(ISNUMBER(J9),J7&lt;&gt;0),J9/J7,"")</x:f>
        <x:v>0.6240964740965191</x:v>
      </x:c>
      <x:c r="K10" s="135" t="n">
        <x:f>IF(AND(ISNUMBER(K9),K7&lt;&gt;0),K9/K7,"")</x:f>
        <x:v>0.6346664401894107</x:v>
      </x:c>
      <x:c r="L10" s="135" t="n">
        <x:f>IF(AND(ISNUMBER(L9),L7&lt;&gt;0),L9/L7,"")</x:f>
        <x:v>0.6646581419289386</x:v>
      </x:c>
      <x:c r="M10" s="135" t="n">
        <x:f>IF(AND(ISNUMBER(M9),M7&lt;&gt;0),M9/M7,"")</x:f>
        <x:v>0.6530866334870202</x:v>
      </x:c>
      <x:c r="N10" s="135" t="n">
        <x:f>IF(AND(ISNUMBER(N9),N7&lt;&gt;0),N9/N7,"")</x:f>
        <x:v>0.6456839127693701</x:v>
      </x:c>
      <x:c r="O10" s="135" t="n">
        <x:f>IF(AND(ISNUMBER(O9),O7&lt;&gt;0),O9/O7,"")</x:f>
        <x:v>0.6529205142679806</x:v>
      </x:c>
      <x:c r="P10" s="135" t="n">
        <x:f>IF(AND(ISNUMBER(P9),P7&lt;&gt;0),P9/P7,"")</x:f>
        <x:v>0.63374730567192</x:v>
      </x:c>
    </x:row>
    <x:row r="11">
      <x:c r="A11"/>
      <x:c r="B11" s="112" t="str">
        <x:v>Operating expenses</x:v>
      </x:c>
      <x:c r="C11" s="225" t="str">
        <x:v>15 Part 2 Build row 41: Part 1 operating expenses plus €6,000 earlier marketing spend.</x:v>
      </x:c>
      <x:c r="D11" s="227" t="n">
        <x:f>'15 Part 2 Build'!D41</x:f>
        <x:v>-24875</x:v>
      </x:c>
      <x:c r="E11" s="227" t="n">
        <x:f>'15 Part 2 Build'!E41</x:f>
        <x:v>-24375</x:v>
      </x:c>
      <x:c r="F11" s="227" t="n">
        <x:f>'15 Part 2 Build'!F41</x:f>
        <x:v>-23625</x:v>
      </x:c>
      <x:c r="G11" s="227" t="n">
        <x:f>'15 Part 2 Build'!G41</x:f>
        <x:v>-23125</x:v>
      </x:c>
      <x:c r="H11" s="227" t="n">
        <x:f>'15 Part 2 Build'!H41</x:f>
        <x:v>-25291.666666666668</x:v>
      </x:c>
      <x:c r="I11" s="227" t="n">
        <x:f>'15 Part 2 Build'!I41</x:f>
        <x:v>-24791.666666666668</x:v>
      </x:c>
      <x:c r="J11" s="227" t="n">
        <x:f>'15 Part 2 Build'!J41</x:f>
        <x:v>-21791.666666666668</x:v>
      </x:c>
      <x:c r="K11" s="227" t="n">
        <x:f>'15 Part 2 Build'!K41</x:f>
        <x:v>-22791.666666666668</x:v>
      </x:c>
      <x:c r="L11" s="227" t="n">
        <x:f>'15 Part 2 Build'!L41</x:f>
        <x:v>-25291.666666666668</x:v>
      </x:c>
      <x:c r="M11" s="227" t="n">
        <x:f>'15 Part 2 Build'!M41</x:f>
        <x:v>-25791.666666666668</x:v>
      </x:c>
      <x:c r="N11" s="227" t="n">
        <x:f>'15 Part 2 Build'!N41</x:f>
        <x:v>-24791.666666666668</x:v>
      </x:c>
      <x:c r="O11" s="227" t="n">
        <x:f>'15 Part 2 Build'!O41</x:f>
        <x:v>-23291.666666666668</x:v>
      </x:c>
      <x:c r="P11" s="132" t="n">
        <x:f>IF(COUNT(D11:O11)=12,SUM(D11:O11),"")</x:f>
        <x:v>-289833.3333333333</x:v>
      </x:c>
    </x:row>
    <x:row r="12">
      <x:c r="A12"/>
      <x:c r="B12" s="112" t="str">
        <x:v>Operating profit</x:v>
      </x:c>
      <x:c r="C12" s="225" t="str">
        <x:v>Contribution plus operating expenses.</x:v>
      </x:c>
      <x:c r="D12" s="133" t="n">
        <x:f>IF(AND(ISNUMBER(D9),ISNUMBER(D11)),SUM(D9,D11),"")</x:f>
        <x:v>1268.7499999999964</x:v>
      </x:c>
      <x:c r="E12" s="133" t="n">
        <x:f>IF(AND(ISNUMBER(E9),ISNUMBER(E11)),SUM(E9,E11),"")</x:f>
        <x:v>5420</x:v>
      </x:c>
      <x:c r="F12" s="133" t="n">
        <x:f>IF(AND(ISNUMBER(F9),ISNUMBER(F11)),SUM(F9,F11),"")</x:f>
        <x:v>-6955.576923076922</x:v>
      </x:c>
      <x:c r="G12" s="133" t="n">
        <x:f>IF(AND(ISNUMBER(G9),ISNUMBER(G11)),SUM(G9,G11),"")</x:f>
        <x:v>431.92307692307804</x:v>
      </x:c>
      <x:c r="H12" s="133" t="n">
        <x:f>IF(AND(ISNUMBER(H9),ISNUMBER(H11)),SUM(H9,H11),"")</x:f>
        <x:v>-1276.07560706402</x:v>
      </x:c>
      <x:c r="I12" s="133" t="n">
        <x:f>IF(AND(ISNUMBER(I9),ISNUMBER(I11)),SUM(I9,I11),"")</x:f>
        <x:v>-7174.531939845478</x:v>
      </x:c>
      <x:c r="J12" s="133" t="n">
        <x:f>IF(AND(ISNUMBER(J9),ISNUMBER(J11)),SUM(J9,J11),"")</x:f>
        <x:v>-12367.80990780923</x:v>
      </x:c>
      <x:c r="K12" s="133" t="n">
        <x:f>IF(AND(ISNUMBER(K9),ISNUMBER(K11)),SUM(K9,K11),"")</x:f>
        <x:v>5000.1578987310095</x:v>
      </x:c>
      <x:c r="L12" s="133" t="n">
        <x:f>IF(AND(ISNUMBER(L9),ISNUMBER(L11)),SUM(L9,L11),"")</x:f>
        <x:v>22246.669978768045</x:v>
      </x:c>
      <x:c r="M12" s="133" t="n">
        <x:f>IF(AND(ISNUMBER(M9),ISNUMBER(M11)),SUM(M9,M11),"")</x:f>
        <x:v>27519.344820303977</x:v>
      </x:c>
      <x:c r="N12" s="133" t="n">
        <x:f>IF(AND(ISNUMBER(N9),ISNUMBER(N11)),SUM(N9,N11),"")</x:f>
        <x:v>8485.831747953413</x:v>
      </x:c>
      <x:c r="O12" s="133" t="n">
        <x:f>IF(AND(ISNUMBER(O9),ISNUMBER(O11)),SUM(O9,O11),"")</x:f>
        <x:v>3412.782366893738</x:v>
      </x:c>
      <x:c r="P12" s="133" t="n">
        <x:f>IF(COUNT(D12:O12)=12,SUM(D12:O12),"")</x:f>
        <x:v>46011.46551177761</x:v>
      </x:c>
    </x:row>
    <x:row r="13">
      <x:c r="A13"/>
      <x:c r="B13" s="112" t="str">
        <x:v>Operating margin</x:v>
      </x:c>
      <x:c r="C13" s="225" t="str">
        <x:v>Operating profit divided by revenue.</x:v>
      </x:c>
      <x:c r="D13" s="135" t="n">
        <x:f>IF(AND(ISNUMBER(D12),D7&lt;&gt;0),D12/D7,"")</x:f>
        <x:v>0.02911785799665304</x:v>
      </x:c>
      <x:c r="E13" s="135" t="n">
        <x:f>IF(AND(ISNUMBER(E12),E7&lt;&gt;0),E12/E7,"")</x:f>
        <x:v>0.10732673267326732</x:v>
      </x:c>
      <x:c r="F13" s="135" t="n">
        <x:f>IF(AND(ISNUMBER(F12),F7&lt;&gt;0),F12/F7,"")</x:f>
        <x:v>-0.25453201970443345</x:v>
      </x:c>
      <x:c r="G13" s="135" t="n">
        <x:f>IF(AND(ISNUMBER(G12),G7&lt;&gt;0),G12/G7,"")</x:f>
        <x:v>0.010634469696969724</x:v>
      </x:c>
      <x:c r="H13" s="135" t="n">
        <x:f>IF(AND(ISNUMBER(H12),H7&lt;&gt;0),H12/H7,"")</x:f>
        <x:v>-0.03465242653262784</x:v>
      </x:c>
      <x:c r="I13" s="135" t="n">
        <x:f>IF(AND(ISNUMBER(I12),I7&lt;&gt;0),I12/I7,"")</x:f>
        <x:v>-0.26957409220253264</x:v>
      </x:c>
      <x:c r="J13" s="135" t="n">
        <x:f>IF(AND(ISNUMBER(J12),J7&lt;&gt;0),J12/J7,"")</x:f>
        <x:v>-0.8190602587953132</x:v>
      </x:c>
      <x:c r="K13" s="135" t="n">
        <x:f>IF(AND(ISNUMBER(K12),K7&lt;&gt;0),K12/K7,"")</x:f>
        <x:v>0.11418582491786697</x:v>
      </x:c>
      <x:c r="L13" s="135" t="n">
        <x:f>IF(AND(ISNUMBER(L12),L7&lt;&gt;0),L12/L7,"")</x:f>
        <x:v>0.3110422319249208</x:v>
      </x:c>
      <x:c r="M13" s="135" t="n">
        <x:f>IF(AND(ISNUMBER(M12),M7&lt;&gt;0),M12/M7,"")</x:f>
        <x:v>0.3371257787681129</x:v>
      </x:c>
      <x:c r="N13" s="135" t="n">
        <x:f>IF(AND(ISNUMBER(N12),N7&lt;&gt;0),N12/N7,"")</x:f>
        <x:v>0.16465074921959563</x:v>
      </x:c>
      <x:c r="O13" s="135" t="n">
        <x:f>IF(AND(ISNUMBER(O12),O7&lt;&gt;0),O12/O7,"")</x:f>
        <x:v>0.0834421116599936</x:v>
      </x:c>
      <x:c r="P13" s="135" t="n">
        <x:f>IF(AND(ISNUMBER(P12),P7&lt;&gt;0),P12/P7,"")</x:f>
        <x:v>0.08682475476285025</x:v>
      </x:c>
    </x:row>
    <x:row r="14">
      <x:c r="A14"/>
      <x:c r="B14" s="112" t="str">
        <x:v>Trainer days required</x:v>
      </x:c>
      <x:c r="C14" s="225" t="str">
        <x:v>15 Part 2 Build row 44: delivery days for the full management plan.</x:v>
      </x:c>
      <x:c r="D14" s="230" t="n">
        <x:f>'15 Part 2 Build'!D44</x:f>
        <x:v>8.904210028382213</x:v>
      </x:c>
      <x:c r="E14" s="230" t="n">
        <x:f>'15 Part 2 Build'!E44</x:f>
        <x:v>10.319772942289498</x:v>
      </x:c>
      <x:c r="F14" s="230" t="n">
        <x:f>'15 Part 2 Build'!F44</x:f>
        <x:v>5.584309730005095</x:v>
      </x:c>
      <x:c r="G14" s="230" t="n">
        <x:f>'15 Part 2 Build'!G44</x:f>
        <x:v>8.299832617713413</x:v>
      </x:c>
      <x:c r="H14" s="230" t="n">
        <x:f>'15 Part 2 Build'!H44</x:f>
        <x:v>7.525260170293283</x:v>
      </x:c>
      <x:c r="I14" s="230" t="n">
        <x:f>'15 Part 2 Build'!I44</x:f>
        <x:v>5.438688505203406</x:v>
      </x:c>
      <x:c r="J14" s="230" t="n">
        <x:f>'15 Part 2 Build'!J44</x:f>
        <x:v>3.085714285714286</x:v>
      </x:c>
      <x:c r="K14" s="230" t="n">
        <x:f>'15 Part 2 Build'!K44</x:f>
        <x:v>8.948500962385411</x:v>
      </x:c>
      <x:c r="L14" s="230" t="n">
        <x:f>'15 Part 2 Build'!L44</x:f>
        <x:v>14.615861416500833</x:v>
      </x:c>
      <x:c r="M14" s="230" t="n">
        <x:f>'15 Part 2 Build'!M44</x:f>
        <x:v>16.681107885035726</x:v>
      </x:c>
      <x:c r="N14" s="230" t="n">
        <x:f>'15 Part 2 Build'!N44</x:f>
        <x:v>10.531966503466847</x:v>
      </x:c>
      <x:c r="O14" s="230" t="n">
        <x:f>'15 Part 2 Build'!O44</x:f>
        <x:v>8.357994323557238</x:v>
      </x:c>
      <x:c r="P14" s="231" t="n">
        <x:f>IF(COUNT(D14:O14)=12,SUM(D14:O14),"")</x:f>
        <x:v>108.29321937054725</x:v>
      </x:c>
    </x:row>
    <x:row r="15">
      <x:c r="A15"/>
      <x:c r="B15" s="114" t="str">
        <x:v>Open seats sold</x:v>
      </x:c>
      <x:c r="C15" s="226" t="str">
        <x:v>15 Part 2 Build row 45: Part 1 seats plus contractor-related open-seat demand.</x:v>
      </x:c>
      <x:c r="D15" s="232" t="n">
        <x:f>'15 Part 2 Build'!D45</x:f>
        <x:v>13</x:v>
      </x:c>
      <x:c r="E15" s="232" t="n">
        <x:f>'15 Part 2 Build'!E45</x:f>
        <x:v>19</x:v>
      </x:c>
      <x:c r="F15" s="232" t="n">
        <x:f>'15 Part 2 Build'!F45</x:f>
        <x:v>11</x:v>
      </x:c>
      <x:c r="G15" s="232" t="n">
        <x:f>'15 Part 2 Build'!G45</x:f>
        <x:v>19</x:v>
      </x:c>
      <x:c r="H15" s="232" t="n">
        <x:f>'15 Part 2 Build'!H45</x:f>
        <x:v>17</x:v>
      </x:c>
      <x:c r="I15" s="232" t="n">
        <x:f>'15 Part 2 Build'!I45</x:f>
        <x:v>11</x:v>
      </x:c>
      <x:c r="J15" s="232" t="n">
        <x:f>'15 Part 2 Build'!J45</x:f>
        <x:v>4</x:v>
      </x:c>
      <x:c r="K15" s="232" t="n">
        <x:f>'15 Part 2 Build'!K45</x:f>
        <x:v>11</x:v>
      </x:c>
      <x:c r="L15" s="232" t="n">
        <x:f>'15 Part 2 Build'!L45</x:f>
        <x:v>26</x:v>
      </x:c>
      <x:c r="M15" s="232" t="n">
        <x:f>'15 Part 2 Build'!M45</x:f>
        <x:v>32</x:v>
      </x:c>
      <x:c r="N15" s="232" t="n">
        <x:f>'15 Part 2 Build'!N45</x:f>
        <x:v>20</x:v>
      </x:c>
      <x:c r="O15" s="232" t="n">
        <x:f>'15 Part 2 Build'!O45</x:f>
        <x:v>17</x:v>
      </x:c>
      <x:c r="P15" s="233" t="n">
        <x:f>IF(COUNT(D15:O15)=12,SUM(D15:O15),"")</x:f>
        <x:v>200</x:v>
      </x:c>
    </x:row>
    <x:row r="16"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3"/>
      <x:c r="P16" s="103"/>
    </x:row>
    <x:row r="17" ht="24" customHeight="1">
      <x:c r="B17" s="107" t="str">
        <x:v>Yellow cells are your inputs or working formulas. Blue-grey cells calculate totals. Explain how sales, capacity and costs fit.</x:v>
      </x:c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7"/>
      <x:c r="P17" s="10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2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5" hidden="0" customWidth="1"/>
  </x:cols>
  <x:sheetData>
    <x:row r="2">
      <x:c r="B2" s="106" t="str">
        <x:v>Original draft and your two budgets</x:v>
      </x:c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B3" s="107" t="str">
        <x:v>2026 monthly P&amp;L. EUR excluding VAT. Linked to sheets 08, 10 and 12.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B4" s="107"/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7"/>
      <x:c r="N4" s="107"/>
      <x:c r="O4" s="107"/>
      <x:c r="P4" s="107"/>
    </x:row>
    <x:row r="5">
      <x:c r="B5" s="107" t="str">
        <x:v>Part 1 corrects the expected outcome with no new decisions. Part 2 shows the effects of your management decisions.</x:v>
      </x:c>
      <x:c r="C5" s="107"/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</x:row>
    <x:row r="6">
      <x:c r="B6" s="109" t="str">
        <x:v>P&amp;L line</x:v>
      </x:c>
      <x:c r="C6" s="109" t="str">
        <x:v>Version</x:v>
      </x:c>
      <x:c r="D6" s="109" t="str">
        <x:v>Jan</x:v>
      </x:c>
      <x:c r="E6" s="109" t="str">
        <x:v>Feb</x:v>
      </x:c>
      <x:c r="F6" s="109" t="str">
        <x:v>Mar</x:v>
      </x:c>
      <x:c r="G6" s="109" t="str">
        <x:v>Apr</x:v>
      </x:c>
      <x:c r="H6" s="109" t="str">
        <x:v>May</x:v>
      </x:c>
      <x:c r="I6" s="109" t="str">
        <x:v>Jun</x:v>
      </x:c>
      <x:c r="J6" s="109" t="str">
        <x:v>Jul</x:v>
      </x:c>
      <x:c r="K6" s="109" t="str">
        <x:v>Aug</x:v>
      </x:c>
      <x:c r="L6" s="109" t="str">
        <x:v>Sep</x:v>
      </x:c>
      <x:c r="M6" s="109" t="str">
        <x:v>Oct</x:v>
      </x:c>
      <x:c r="N6" s="109" t="str">
        <x:v>Nov</x:v>
      </x:c>
      <x:c r="O6" s="109" t="str">
        <x:v>Dec</x:v>
      </x:c>
      <x:c r="P6" s="109" t="str">
        <x:v>FY Total</x:v>
      </x:c>
    </x:row>
    <x:row r="7" ht="24" customHeight="1">
      <x:c r="B7" s="143" t="str">
        <x:v>Revenue</x:v>
      </x:c>
      <x:c r="C7" s="157" t="str">
        <x:v>Original draft</x:v>
      </x:c>
      <x:c r="D7" s="146" t="n">
        <x:f>IF(ISNUMBER('08 Draft P&amp;L'!D7),'08 Draft P&amp;L'!D7,"")</x:f>
        <x:v>55500</x:v>
      </x:c>
      <x:c r="E7" s="146" t="n">
        <x:f>IF(ISNUMBER('08 Draft P&amp;L'!E7),'08 Draft P&amp;L'!E7,"")</x:f>
        <x:v>63000</x:v>
      </x:c>
      <x:c r="F7" s="146" t="n">
        <x:f>IF(ISNUMBER('08 Draft P&amp;L'!F7),'08 Draft P&amp;L'!F7,"")</x:f>
        <x:v>69500</x:v>
      </x:c>
      <x:c r="G7" s="146" t="n">
        <x:f>IF(ISNUMBER('08 Draft P&amp;L'!G7),'08 Draft P&amp;L'!G7,"")</x:f>
        <x:v>80500</x:v>
      </x:c>
      <x:c r="H7" s="146" t="n">
        <x:f>IF(ISNUMBER('08 Draft P&amp;L'!H7),'08 Draft P&amp;L'!H7,"")</x:f>
        <x:v>68000</x:v>
      </x:c>
      <x:c r="I7" s="146" t="n">
        <x:f>IF(ISNUMBER('08 Draft P&amp;L'!I7),'08 Draft P&amp;L'!I7,"")</x:f>
        <x:v>73500</x:v>
      </x:c>
      <x:c r="J7" s="146" t="n">
        <x:f>IF(ISNUMBER('08 Draft P&amp;L'!J7),'08 Draft P&amp;L'!J7,"")</x:f>
        <x:v>60000</x:v>
      </x:c>
      <x:c r="K7" s="146" t="n">
        <x:f>IF(ISNUMBER('08 Draft P&amp;L'!K7),'08 Draft P&amp;L'!K7,"")</x:f>
        <x:v>91500</x:v>
      </x:c>
      <x:c r="L7" s="146" t="n">
        <x:f>IF(ISNUMBER('08 Draft P&amp;L'!L7),'08 Draft P&amp;L'!L7,"")</x:f>
        <x:v>113500</x:v>
      </x:c>
      <x:c r="M7" s="146" t="n">
        <x:f>IF(ISNUMBER('08 Draft P&amp;L'!M7),'08 Draft P&amp;L'!M7,"")</x:f>
        <x:v>124000</x:v>
      </x:c>
      <x:c r="N7" s="146" t="n">
        <x:f>IF(ISNUMBER('08 Draft P&amp;L'!N7),'08 Draft P&amp;L'!N7,"")</x:f>
        <x:v>103500</x:v>
      </x:c>
      <x:c r="O7" s="146" t="n">
        <x:f>IF(ISNUMBER('08 Draft P&amp;L'!O7),'08 Draft P&amp;L'!O7,"")</x:f>
        <x:v>87000</x:v>
      </x:c>
      <x:c r="P7" s="151" t="n">
        <x:f>IF(ISNUMBER('08 Draft P&amp;L'!P7),'08 Draft P&amp;L'!P7,"")</x:f>
        <x:v>989500</x:v>
      </x:c>
    </x:row>
    <x:row r="8" ht="24" customHeight="1">
      <x:c r="B8" s="144"/>
      <x:c r="C8" s="158" t="str">
        <x:v>Part 1 Red-pencil correction</x:v>
      </x:c>
      <x:c r="D8" s="147" t="n">
        <x:f>IF(ISNUMBER('10 Corrected Budget'!D7),'10 Corrected Budget'!D7,"")</x:f>
        <x:v>43572.916666666664</x:v>
      </x:c>
      <x:c r="E8" s="147" t="n">
        <x:f>IF(ISNUMBER('10 Corrected Budget'!E7),'10 Corrected Budget'!E7,"")</x:f>
        <x:v>50500</x:v>
      </x:c>
      <x:c r="F8" s="147" t="n">
        <x:f>IF(ISNUMBER('10 Corrected Budget'!F7),'10 Corrected Budget'!F7,"")</x:f>
        <x:v>27326.923076923078</x:v>
      </x:c>
      <x:c r="G8" s="147" t="n">
        <x:f>IF(ISNUMBER('10 Corrected Budget'!G7),'10 Corrected Budget'!G7,"")</x:f>
        <x:v>40615.38461538462</x:v>
      </x:c>
      <x:c r="H8" s="147" t="n">
        <x:f>IF(ISNUMBER('10 Corrected Budget'!H7),'10 Corrected Budget'!H7,"")</x:f>
        <x:v>29925</x:v>
      </x:c>
      <x:c r="I8" s="147" t="n">
        <x:f>IF(ISNUMBER('10 Corrected Budget'!I7),'10 Corrected Budget'!I7,"")</x:f>
        <x:v>21514.322916666668</x:v>
      </x:c>
      <x:c r="J8" s="147" t="n">
        <x:f>IF(ISNUMBER('10 Corrected Budget'!J7),'10 Corrected Budget'!J7,"")</x:f>
        <x:v>13300</x:v>
      </x:c>
      <x:c r="K8" s="147" t="n">
        <x:f>IF(ISNUMBER('10 Corrected Budget'!K7),'10 Corrected Budget'!K7,"")</x:f>
        <x:v>31500</x:v>
      </x:c>
      <x:c r="L8" s="147" t="n">
        <x:f>IF(ISNUMBER('10 Corrected Budget'!L7),'10 Corrected Budget'!L7,"")</x:f>
        <x:v>54133.333333333336</x:v>
      </x:c>
      <x:c r="M8" s="147" t="n">
        <x:f>IF(ISNUMBER('10 Corrected Budget'!M7),'10 Corrected Budget'!M7,"")</x:f>
        <x:v>53750</x:v>
      </x:c>
      <x:c r="N8" s="147" t="n">
        <x:f>IF(ISNUMBER('10 Corrected Budget'!N7),'10 Corrected Budget'!N7,"")</x:f>
        <x:v>38948.71794871795</x:v>
      </x:c>
      <x:c r="O8" s="147" t="n">
        <x:f>IF(ISNUMBER('10 Corrected Budget'!O7),'10 Corrected Budget'!O7,"")</x:f>
        <x:v>34000</x:v>
      </x:c>
      <x:c r="P8" s="153" t="n">
        <x:f>IF(ISNUMBER('10 Corrected Budget'!P7),'10 Corrected Budget'!P7,"")</x:f>
        <x:v>439086.59855769225</x:v>
      </x:c>
    </x:row>
    <x:row r="9" ht="24" customHeight="1">
      <x:c r="B9" s="145"/>
      <x:c r="C9" s="159" t="str">
        <x:v>Part 2 Management plan</x:v>
      </x:c>
      <x:c r="D9" s="148" t="n">
        <x:f>IF(ISNUMBER('12 Management Budget'!D7),'12 Management Budget'!D7,"")</x:f>
        <x:v>43572.916666666664</x:v>
      </x:c>
      <x:c r="E9" s="148" t="n">
        <x:f>IF(ISNUMBER('12 Management Budget'!E7),'12 Management Budget'!E7,"")</x:f>
        <x:v>50500</x:v>
      </x:c>
      <x:c r="F9" s="148" t="n">
        <x:f>IF(ISNUMBER('12 Management Budget'!F7),'12 Management Budget'!F7,"")</x:f>
        <x:v>27326.923076923078</x:v>
      </x:c>
      <x:c r="G9" s="148" t="n">
        <x:f>IF(ISNUMBER('12 Management Budget'!G7),'12 Management Budget'!G7,"")</x:f>
        <x:v>40615.38461538462</x:v>
      </x:c>
      <x:c r="H9" s="148" t="n">
        <x:f>IF(ISNUMBER('12 Management Budget'!H7),'12 Management Budget'!H7,"")</x:f>
        <x:v>36825</x:v>
      </x:c>
      <x:c r="I9" s="148" t="n">
        <x:f>IF(ISNUMBER('12 Management Budget'!I7),'12 Management Budget'!I7,"")</x:f>
        <x:v>26614.322916666668</x:v>
      </x:c>
      <x:c r="J9" s="148" t="n">
        <x:f>IF(ISNUMBER('12 Management Budget'!J7),'12 Management Budget'!J7,"")</x:f>
        <x:v>15100</x:v>
      </x:c>
      <x:c r="K9" s="148" t="n">
        <x:f>IF(ISNUMBER('12 Management Budget'!K7),'12 Management Budget'!K7,"")</x:f>
        <x:v>43789.6551724138</x:v>
      </x:c>
      <x:c r="L9" s="148" t="n">
        <x:f>IF(ISNUMBER('12 Management Budget'!L7),'12 Management Budget'!L7,"")</x:f>
        <x:v>71522.98850574713</x:v>
      </x:c>
      <x:c r="M9" s="148" t="n">
        <x:f>IF(ISNUMBER('12 Management Budget'!M7),'12 Management Budget'!M7,"")</x:f>
        <x:v>81629.3103448276</x:v>
      </x:c>
      <x:c r="N9" s="148" t="n">
        <x:f>IF(ISNUMBER('12 Management Budget'!N7),'12 Management Budget'!N7,"")</x:f>
        <x:v>51538.37312113175</x:v>
      </x:c>
      <x:c r="O9" s="148" t="n">
        <x:f>IF(ISNUMBER('12 Management Budget'!O7),'12 Management Budget'!O7,"")</x:f>
        <x:v>40900</x:v>
      </x:c>
      <x:c r="P9" s="155" t="n">
        <x:f>IF(ISNUMBER('12 Management Budget'!P7),'12 Management Budget'!P7,"")</x:f>
        <x:v>529934.8744197612</x:v>
      </x:c>
    </x:row>
    <x:row r="10" ht="24" customHeight="1">
      <x:c r="B10" s="103"/>
      <x:c r="C10" s="104"/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56"/>
    </x:row>
    <x:row r="11" ht="24" customHeight="1">
      <x:c r="B11" s="143" t="str">
        <x:v>Direct delivery costs</x:v>
      </x:c>
      <x:c r="C11" s="157" t="str">
        <x:v>Original draft</x:v>
      </x:c>
      <x:c r="D11" s="146" t="n">
        <x:f>IF(ISNUMBER('08 Draft P&amp;L'!D8),'08 Draft P&amp;L'!D8,"")</x:f>
        <x:v>-4000</x:v>
      </x:c>
      <x:c r="E11" s="146" t="n">
        <x:f>IF(ISNUMBER('08 Draft P&amp;L'!E8),'08 Draft P&amp;L'!E8,"")</x:f>
        <x:v>-5955</x:v>
      </x:c>
      <x:c r="F11" s="146" t="n">
        <x:f>IF(ISNUMBER('08 Draft P&amp;L'!F8),'08 Draft P&amp;L'!F8,"")</x:f>
        <x:v>-6250</x:v>
      </x:c>
      <x:c r="G11" s="146" t="n">
        <x:f>IF(ISNUMBER('08 Draft P&amp;L'!G8),'08 Draft P&amp;L'!G8,"")</x:f>
        <x:v>-6152.5</x:v>
      </x:c>
      <x:c r="H11" s="146" t="n">
        <x:f>IF(ISNUMBER('08 Draft P&amp;L'!H8),'08 Draft P&amp;L'!H8,"")</x:f>
        <x:v>-4805</x:v>
      </x:c>
      <x:c r="I11" s="146" t="n">
        <x:f>IF(ISNUMBER('08 Draft P&amp;L'!I8),'08 Draft P&amp;L'!I8,"")</x:f>
        <x:v>-8025</x:v>
      </x:c>
      <x:c r="J11" s="146" t="n">
        <x:f>IF(ISNUMBER('08 Draft P&amp;L'!J8),'08 Draft P&amp;L'!J8,"")</x:f>
        <x:v>-1125</x:v>
      </x:c>
      <x:c r="K11" s="146" t="n">
        <x:f>IF(ISNUMBER('08 Draft P&amp;L'!K8),'08 Draft P&amp;L'!K8,"")</x:f>
        <x:v>-4550</x:v>
      </x:c>
      <x:c r="L11" s="146" t="n">
        <x:f>IF(ISNUMBER('08 Draft P&amp;L'!L8),'08 Draft P&amp;L'!L8,"")</x:f>
        <x:v>-13770</x:v>
      </x:c>
      <x:c r="M11" s="146" t="n">
        <x:f>IF(ISNUMBER('08 Draft P&amp;L'!M8),'08 Draft P&amp;L'!M8,"")</x:f>
        <x:v>-8497.5</x:v>
      </x:c>
      <x:c r="N11" s="146" t="n">
        <x:f>IF(ISNUMBER('08 Draft P&amp;L'!N8),'08 Draft P&amp;L'!N8,"")</x:f>
        <x:v>-10240</x:v>
      </x:c>
      <x:c r="O11" s="146" t="n">
        <x:f>IF(ISNUMBER('08 Draft P&amp;L'!O8),'08 Draft P&amp;L'!O8,"")</x:f>
        <x:v>-3825</x:v>
      </x:c>
      <x:c r="P11" s="151" t="n">
        <x:f>IF(ISNUMBER('08 Draft P&amp;L'!P8),'08 Draft P&amp;L'!P8,"")</x:f>
        <x:v>-77195</x:v>
      </x:c>
    </x:row>
    <x:row r="12" ht="24" customHeight="1">
      <x:c r="B12" s="144"/>
      <x:c r="C12" s="158" t="str">
        <x:v>Part 1 Red-pencil correction</x:v>
      </x:c>
      <x:c r="D12" s="147" t="n">
        <x:f>IF(ISNUMBER('10 Corrected Budget'!D8),'10 Corrected Budget'!D8,"")</x:f>
        <x:v>-17429.166666666668</x:v>
      </x:c>
      <x:c r="E12" s="147" t="n">
        <x:f>IF(ISNUMBER('10 Corrected Budget'!E8),'10 Corrected Budget'!E8,"")</x:f>
        <x:v>-20705</x:v>
      </x:c>
      <x:c r="F12" s="147" t="n">
        <x:f>IF(ISNUMBER('10 Corrected Budget'!F8),'10 Corrected Budget'!F8,"")</x:f>
        <x:v>-10657.5</x:v>
      </x:c>
      <x:c r="G12" s="147" t="n">
        <x:f>IF(ISNUMBER('10 Corrected Budget'!G8),'10 Corrected Budget'!G8,"")</x:f>
        <x:v>-17058.46153846154</x:v>
      </x:c>
      <x:c r="H12" s="147" t="n">
        <x:f>IF(ISNUMBER('10 Corrected Budget'!H8),'10 Corrected Budget'!H8,"")</x:f>
        <x:v>-12269.25</x:v>
      </x:c>
      <x:c r="I12" s="147" t="n">
        <x:f>IF(ISNUMBER('10 Corrected Budget'!I8),'10 Corrected Budget'!I8,"")</x:f>
        <x:v>-8605.729166666668</x:v>
      </x:c>
      <x:c r="J12" s="147" t="n">
        <x:f>IF(ISNUMBER('10 Corrected Budget'!J8),'10 Corrected Budget'!J8,"")</x:f>
        <x:v>-5966.629477297753</x:v>
      </x:c>
      <x:c r="K12" s="147" t="n">
        <x:f>IF(ISNUMBER('10 Corrected Budget'!K8),'10 Corrected Budget'!K8,"")</x:f>
        <x:v>-13802.85154478917</x:v>
      </x:c>
      <x:c r="L12" s="147" t="n">
        <x:f>IF(ISNUMBER('10 Corrected Budget'!L8),'10 Corrected Budget'!L8,"")</x:f>
        <x:v>-22026.13770321912</x:v>
      </x:c>
      <x:c r="M12" s="147" t="n">
        <x:f>IF(ISNUMBER('10 Corrected Budget'!M8),'10 Corrected Budget'!M8,"")</x:f>
        <x:v>-22430.937884578016</x:v>
      </x:c>
      <x:c r="N12" s="147" t="n">
        <x:f>IF(ISNUMBER('10 Corrected Budget'!N8),'10 Corrected Budget'!N8,"")</x:f>
        <x:v>-16660.42195007316</x:v>
      </x:c>
      <x:c r="O12" s="147" t="n">
        <x:f>IF(ISNUMBER('10 Corrected Budget'!O8),'10 Corrected Budget'!O8,"")</x:f>
        <x:v>-14188.87233629121</x:v>
      </x:c>
      <x:c r="P12" s="153" t="n">
        <x:f>IF(ISNUMBER('10 Corrected Budget'!P8),'10 Corrected Budget'!P8,"")</x:f>
        <x:v>-181800.95826804332</x:v>
      </x:c>
    </x:row>
    <x:row r="13" ht="24" customHeight="1">
      <x:c r="B13" s="145"/>
      <x:c r="C13" s="159" t="str">
        <x:v>Part 2 Management plan</x:v>
      </x:c>
      <x:c r="D13" s="148" t="n">
        <x:f>IF(ISNUMBER('12 Management Budget'!D8),'12 Management Budget'!D8,"")</x:f>
        <x:v>-17429.166666666668</x:v>
      </x:c>
      <x:c r="E13" s="148" t="n">
        <x:f>IF(ISNUMBER('12 Management Budget'!E8),'12 Management Budget'!E8,"")</x:f>
        <x:v>-20705</x:v>
      </x:c>
      <x:c r="F13" s="148" t="n">
        <x:f>IF(ISNUMBER('12 Management Budget'!F8),'12 Management Budget'!F8,"")</x:f>
        <x:v>-10657.5</x:v>
      </x:c>
      <x:c r="G13" s="148" t="n">
        <x:f>IF(ISNUMBER('12 Management Budget'!G8),'12 Management Budget'!G8,"")</x:f>
        <x:v>-17058.46153846154</x:v>
      </x:c>
      <x:c r="H13" s="148" t="n">
        <x:f>IF(ISNUMBER('12 Management Budget'!H8),'12 Management Budget'!H8,"")</x:f>
        <x:v>-12809.408940397352</x:v>
      </x:c>
      <x:c r="I13" s="148" t="n">
        <x:f>IF(ISNUMBER('12 Management Budget'!I8),'12 Management Budget'!I8,"")</x:f>
        <x:v>-8997.188189845476</x:v>
      </x:c>
      <x:c r="J13" s="148" t="n">
        <x:f>IF(ISNUMBER('12 Management Budget'!J8),'12 Management Budget'!J8,"")</x:f>
        <x:v>-5676.143241142561</x:v>
      </x:c>
      <x:c r="K13" s="148" t="n">
        <x:f>IF(ISNUMBER('12 Management Budget'!K8),'12 Management Budget'!K8,"")</x:f>
        <x:v>-15997.830607016118</x:v>
      </x:c>
      <x:c r="L13" s="148" t="n">
        <x:f>IF(ISNUMBER('12 Management Budget'!L8),'12 Management Budget'!L8,"")</x:f>
        <x:v>-23984.65186031241</x:v>
      </x:c>
      <x:c r="M13" s="148" t="n">
        <x:f>IF(ISNUMBER('12 Management Budget'!M8),'12 Management Budget'!M8,"")</x:f>
        <x:v>-28318.298857856953</x:v>
      </x:c>
      <x:c r="N13" s="148" t="n">
        <x:f>IF(ISNUMBER('12 Management Budget'!N8),'12 Management Budget'!N8,"")</x:f>
        <x:v>-18260.87470651167</x:v>
      </x:c>
      <x:c r="O13" s="148" t="n">
        <x:f>IF(ISNUMBER('12 Management Budget'!O8),'12 Management Budget'!O8,"")</x:f>
        <x:v>-14195.550966439594</x:v>
      </x:c>
      <x:c r="P13" s="155" t="n">
        <x:f>IF(ISNUMBER('12 Management Budget'!P8),'12 Management Budget'!P8,"")</x:f>
        <x:v>-194090.07557465034</x:v>
      </x:c>
    </x:row>
    <x:row r="14" ht="24" customHeight="1">
      <x:c r="B14" s="103"/>
      <x:c r="C14" s="104"/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56"/>
    </x:row>
    <x:row r="15" ht="24" customHeight="1">
      <x:c r="B15" s="143" t="str">
        <x:v>Contribution</x:v>
      </x:c>
      <x:c r="C15" s="157" t="str">
        <x:v>Original draft</x:v>
      </x:c>
      <x:c r="D15" s="146" t="n">
        <x:f>IF(ISNUMBER('08 Draft P&amp;L'!D9),'08 Draft P&amp;L'!D9,"")</x:f>
        <x:v>51500</x:v>
      </x:c>
      <x:c r="E15" s="146" t="n">
        <x:f>IF(ISNUMBER('08 Draft P&amp;L'!E9),'08 Draft P&amp;L'!E9,"")</x:f>
        <x:v>57045</x:v>
      </x:c>
      <x:c r="F15" s="146" t="n">
        <x:f>IF(ISNUMBER('08 Draft P&amp;L'!F9),'08 Draft P&amp;L'!F9,"")</x:f>
        <x:v>63250</x:v>
      </x:c>
      <x:c r="G15" s="146" t="n">
        <x:f>IF(ISNUMBER('08 Draft P&amp;L'!G9),'08 Draft P&amp;L'!G9,"")</x:f>
        <x:v>74347.5</x:v>
      </x:c>
      <x:c r="H15" s="146" t="n">
        <x:f>IF(ISNUMBER('08 Draft P&amp;L'!H9),'08 Draft P&amp;L'!H9,"")</x:f>
        <x:v>63195</x:v>
      </x:c>
      <x:c r="I15" s="146" t="n">
        <x:f>IF(ISNUMBER('08 Draft P&amp;L'!I9),'08 Draft P&amp;L'!I9,"")</x:f>
        <x:v>65475</x:v>
      </x:c>
      <x:c r="J15" s="146" t="n">
        <x:f>IF(ISNUMBER('08 Draft P&amp;L'!J9),'08 Draft P&amp;L'!J9,"")</x:f>
        <x:v>58875</x:v>
      </x:c>
      <x:c r="K15" s="146" t="n">
        <x:f>IF(ISNUMBER('08 Draft P&amp;L'!K9),'08 Draft P&amp;L'!K9,"")</x:f>
        <x:v>86950</x:v>
      </x:c>
      <x:c r="L15" s="146" t="n">
        <x:f>IF(ISNUMBER('08 Draft P&amp;L'!L9),'08 Draft P&amp;L'!L9,"")</x:f>
        <x:v>99730</x:v>
      </x:c>
      <x:c r="M15" s="146" t="n">
        <x:f>IF(ISNUMBER('08 Draft P&amp;L'!M9),'08 Draft P&amp;L'!M9,"")</x:f>
        <x:v>115502.5</x:v>
      </x:c>
      <x:c r="N15" s="146" t="n">
        <x:f>IF(ISNUMBER('08 Draft P&amp;L'!N9),'08 Draft P&amp;L'!N9,"")</x:f>
        <x:v>93260</x:v>
      </x:c>
      <x:c r="O15" s="146" t="n">
        <x:f>IF(ISNUMBER('08 Draft P&amp;L'!O9),'08 Draft P&amp;L'!O9,"")</x:f>
        <x:v>83175</x:v>
      </x:c>
      <x:c r="P15" s="151" t="n">
        <x:f>IF(ISNUMBER('08 Draft P&amp;L'!P9),'08 Draft P&amp;L'!P9,"")</x:f>
        <x:v>912305</x:v>
      </x:c>
    </x:row>
    <x:row r="16" ht="24" customHeight="1">
      <x:c r="B16" s="144"/>
      <x:c r="C16" s="158" t="str">
        <x:v>Part 1 Red-pencil correction</x:v>
      </x:c>
      <x:c r="D16" s="147" t="n">
        <x:f>IF(ISNUMBER('10 Corrected Budget'!D9),'10 Corrected Budget'!D9,"")</x:f>
        <x:v>26143.749999999996</x:v>
      </x:c>
      <x:c r="E16" s="147" t="n">
        <x:f>IF(ISNUMBER('10 Corrected Budget'!E9),'10 Corrected Budget'!E9,"")</x:f>
        <x:v>29795</x:v>
      </x:c>
      <x:c r="F16" s="147" t="n">
        <x:f>IF(ISNUMBER('10 Corrected Budget'!F9),'10 Corrected Budget'!F9,"")</x:f>
        <x:v>16669.423076923078</x:v>
      </x:c>
      <x:c r="G16" s="147" t="n">
        <x:f>IF(ISNUMBER('10 Corrected Budget'!G9),'10 Corrected Budget'!G9,"")</x:f>
        <x:v>23556.923076923078</x:v>
      </x:c>
      <x:c r="H16" s="147" t="n">
        <x:f>IF(ISNUMBER('10 Corrected Budget'!H9),'10 Corrected Budget'!H9,"")</x:f>
        <x:v>17655.75</x:v>
      </x:c>
      <x:c r="I16" s="147" t="n">
        <x:f>IF(ISNUMBER('10 Corrected Budget'!I9),'10 Corrected Budget'!I9,"")</x:f>
        <x:v>12908.59375</x:v>
      </x:c>
      <x:c r="J16" s="147" t="n">
        <x:f>IF(ISNUMBER('10 Corrected Budget'!J9),'10 Corrected Budget'!J9,"")</x:f>
        <x:v>7333.370522702247</x:v>
      </x:c>
      <x:c r="K16" s="147" t="n">
        <x:f>IF(ISNUMBER('10 Corrected Budget'!K9),'10 Corrected Budget'!K9,"")</x:f>
        <x:v>17697.14845521083</x:v>
      </x:c>
      <x:c r="L16" s="147" t="n">
        <x:f>IF(ISNUMBER('10 Corrected Budget'!L9),'10 Corrected Budget'!L9,"")</x:f>
        <x:v>32107.195630114216</x:v>
      </x:c>
      <x:c r="M16" s="147" t="n">
        <x:f>IF(ISNUMBER('10 Corrected Budget'!M9),'10 Corrected Budget'!M9,"")</x:f>
        <x:v>31319.062115421984</x:v>
      </x:c>
      <x:c r="N16" s="147" t="n">
        <x:f>IF(ISNUMBER('10 Corrected Budget'!N9),'10 Corrected Budget'!N9,"")</x:f>
        <x:v>22288.295998644793</x:v>
      </x:c>
      <x:c r="O16" s="147" t="n">
        <x:f>IF(ISNUMBER('10 Corrected Budget'!O9),'10 Corrected Budget'!O9,"")</x:f>
        <x:v>19811.12766370879</x:v>
      </x:c>
      <x:c r="P16" s="153" t="n">
        <x:f>IF(ISNUMBER('10 Corrected Budget'!P9),'10 Corrected Budget'!P9,"")</x:f>
        <x:v>257285.64028964902</x:v>
      </x:c>
    </x:row>
    <x:row r="17" ht="24" customHeight="1">
      <x:c r="B17" s="145"/>
      <x:c r="C17" s="159" t="str">
        <x:v>Part 2 Management plan</x:v>
      </x:c>
      <x:c r="D17" s="148" t="n">
        <x:f>IF(ISNUMBER('12 Management Budget'!D9),'12 Management Budget'!D9,"")</x:f>
        <x:v>26143.749999999996</x:v>
      </x:c>
      <x:c r="E17" s="148" t="n">
        <x:f>IF(ISNUMBER('12 Management Budget'!E9),'12 Management Budget'!E9,"")</x:f>
        <x:v>29795</x:v>
      </x:c>
      <x:c r="F17" s="148" t="n">
        <x:f>IF(ISNUMBER('12 Management Budget'!F9),'12 Management Budget'!F9,"")</x:f>
        <x:v>16669.423076923078</x:v>
      </x:c>
      <x:c r="G17" s="148" t="n">
        <x:f>IF(ISNUMBER('12 Management Budget'!G9),'12 Management Budget'!G9,"")</x:f>
        <x:v>23556.923076923078</x:v>
      </x:c>
      <x:c r="H17" s="148" t="n">
        <x:f>IF(ISNUMBER('12 Management Budget'!H9),'12 Management Budget'!H9,"")</x:f>
        <x:v>24015.591059602648</x:v>
      </x:c>
      <x:c r="I17" s="148" t="n">
        <x:f>IF(ISNUMBER('12 Management Budget'!I9),'12 Management Budget'!I9,"")</x:f>
        <x:v>17617.13472682119</x:v>
      </x:c>
      <x:c r="J17" s="148" t="n">
        <x:f>IF(ISNUMBER('12 Management Budget'!J9),'12 Management Budget'!J9,"")</x:f>
        <x:v>9423.856758857439</x:v>
      </x:c>
      <x:c r="K17" s="148" t="n">
        <x:f>IF(ISNUMBER('12 Management Budget'!K9),'12 Management Budget'!K9,"")</x:f>
        <x:v>27791.824565397677</x:v>
      </x:c>
      <x:c r="L17" s="148" t="n">
        <x:f>IF(ISNUMBER('12 Management Budget'!L9),'12 Management Budget'!L9,"")</x:f>
        <x:v>47538.33664543471</x:v>
      </x:c>
      <x:c r="M17" s="148" t="n">
        <x:f>IF(ISNUMBER('12 Management Budget'!M9),'12 Management Budget'!M9,"")</x:f>
        <x:v>53311.011486970645</x:v>
      </x:c>
      <x:c r="N17" s="148" t="n">
        <x:f>IF(ISNUMBER('12 Management Budget'!N9),'12 Management Budget'!N9,"")</x:f>
        <x:v>33277.49841462008</x:v>
      </x:c>
      <x:c r="O17" s="148" t="n">
        <x:f>IF(ISNUMBER('12 Management Budget'!O9),'12 Management Budget'!O9,"")</x:f>
        <x:v>26704.449033560406</x:v>
      </x:c>
      <x:c r="P17" s="155" t="n">
        <x:f>IF(ISNUMBER('12 Management Budget'!P9),'12 Management Budget'!P9,"")</x:f>
        <x:v>335844.7988451109</x:v>
      </x:c>
    </x:row>
    <x:row r="18" ht="24" customHeight="1">
      <x:c r="B18" s="103"/>
      <x:c r="C18" s="104"/>
      <x:c r="D18" s="149"/>
      <x:c r="E18" s="149"/>
      <x:c r="F18" s="149"/>
      <x:c r="G18" s="149"/>
      <x:c r="H18" s="149"/>
      <x:c r="I18" s="149"/>
      <x:c r="J18" s="149"/>
      <x:c r="K18" s="149"/>
      <x:c r="L18" s="149"/>
      <x:c r="M18" s="149"/>
      <x:c r="N18" s="149"/>
      <x:c r="O18" s="149"/>
      <x:c r="P18" s="156"/>
    </x:row>
    <x:row r="19" ht="24" customHeight="1">
      <x:c r="B19" s="143" t="str">
        <x:v>Operating expenses</x:v>
      </x:c>
      <x:c r="C19" s="157" t="str">
        <x:v>Original draft</x:v>
      </x:c>
      <x:c r="D19" s="146" t="n">
        <x:f>IF(ISNUMBER('08 Draft P&amp;L'!D11),'08 Draft P&amp;L'!D11,"")</x:f>
        <x:v>-24725</x:v>
      </x:c>
      <x:c r="E19" s="146" t="n">
        <x:f>IF(ISNUMBER('08 Draft P&amp;L'!E11),'08 Draft P&amp;L'!E11,"")</x:f>
        <x:v>-24225</x:v>
      </x:c>
      <x:c r="F19" s="146" t="n">
        <x:f>IF(ISNUMBER('08 Draft P&amp;L'!F11),'08 Draft P&amp;L'!F11,"")</x:f>
        <x:v>-24225</x:v>
      </x:c>
      <x:c r="G19" s="146" t="n">
        <x:f>IF(ISNUMBER('08 Draft P&amp;L'!G11),'08 Draft P&amp;L'!G11,"")</x:f>
        <x:v>-25525</x:v>
      </x:c>
      <x:c r="H19" s="146" t="n">
        <x:f>IF(ISNUMBER('08 Draft P&amp;L'!H11),'08 Draft P&amp;L'!H11,"")</x:f>
        <x:v>-23225</x:v>
      </x:c>
      <x:c r="I19" s="146" t="n">
        <x:f>IF(ISNUMBER('08 Draft P&amp;L'!I11),'08 Draft P&amp;L'!I11,"")</x:f>
        <x:v>-22725</x:v>
      </x:c>
      <x:c r="J19" s="146" t="n">
        <x:f>IF(ISNUMBER('08 Draft P&amp;L'!J11),'08 Draft P&amp;L'!J11,"")</x:f>
        <x:v>-21225</x:v>
      </x:c>
      <x:c r="K19" s="146" t="n">
        <x:f>IF(ISNUMBER('08 Draft P&amp;L'!K11),'08 Draft P&amp;L'!K11,"")</x:f>
        <x:v>-22225</x:v>
      </x:c>
      <x:c r="L19" s="146" t="n">
        <x:f>IF(ISNUMBER('08 Draft P&amp;L'!L11),'08 Draft P&amp;L'!L11,"")</x:f>
        <x:v>-24725</x:v>
      </x:c>
      <x:c r="M19" s="146" t="n">
        <x:f>IF(ISNUMBER('08 Draft P&amp;L'!M11),'08 Draft P&amp;L'!M11,"")</x:f>
        <x:v>-25225</x:v>
      </x:c>
      <x:c r="N19" s="146" t="n">
        <x:f>IF(ISNUMBER('08 Draft P&amp;L'!N11),'08 Draft P&amp;L'!N11,"")</x:f>
        <x:v>-24225</x:v>
      </x:c>
      <x:c r="O19" s="146" t="n">
        <x:f>IF(ISNUMBER('08 Draft P&amp;L'!O11),'08 Draft P&amp;L'!O11,"")</x:f>
        <x:v>-22725</x:v>
      </x:c>
      <x:c r="P19" s="151" t="n">
        <x:f>IF(ISNUMBER('08 Draft P&amp;L'!P11),'08 Draft P&amp;L'!P11,"")</x:f>
        <x:v>-285000</x:v>
      </x:c>
    </x:row>
    <x:row r="20" ht="24" customHeight="1">
      <x:c r="B20" s="144"/>
      <x:c r="C20" s="158" t="str">
        <x:v>Part 1 Red-pencil correction</x:v>
      </x:c>
      <x:c r="D20" s="147" t="n">
        <x:f>IF(ISNUMBER('10 Corrected Budget'!D11),'10 Corrected Budget'!D11,"")</x:f>
        <x:v>-24875</x:v>
      </x:c>
      <x:c r="E20" s="147" t="n">
        <x:f>IF(ISNUMBER('10 Corrected Budget'!E11),'10 Corrected Budget'!E11,"")</x:f>
        <x:v>-24375</x:v>
      </x:c>
      <x:c r="F20" s="147" t="n">
        <x:f>IF(ISNUMBER('10 Corrected Budget'!F11),'10 Corrected Budget'!F11,"")</x:f>
        <x:v>-22125</x:v>
      </x:c>
      <x:c r="G20" s="147" t="n">
        <x:f>IF(ISNUMBER('10 Corrected Budget'!G11),'10 Corrected Budget'!G11,"")</x:f>
        <x:v>-21625</x:v>
      </x:c>
      <x:c r="H20" s="147" t="n">
        <x:f>IF(ISNUMBER('10 Corrected Budget'!H11),'10 Corrected Budget'!H11,"")</x:f>
        <x:v>-23791.666666666668</x:v>
      </x:c>
      <x:c r="I20" s="147" t="n">
        <x:f>IF(ISNUMBER('10 Corrected Budget'!I11),'10 Corrected Budget'!I11,"")</x:f>
        <x:v>-23291.666666666668</x:v>
      </x:c>
      <x:c r="J20" s="147" t="n">
        <x:f>IF(ISNUMBER('10 Corrected Budget'!J11),'10 Corrected Budget'!J11,"")</x:f>
        <x:v>-21791.666666666668</x:v>
      </x:c>
      <x:c r="K20" s="147" t="n">
        <x:f>IF(ISNUMBER('10 Corrected Budget'!K11),'10 Corrected Budget'!K11,"")</x:f>
        <x:v>-22791.666666666668</x:v>
      </x:c>
      <x:c r="L20" s="147" t="n">
        <x:f>IF(ISNUMBER('10 Corrected Budget'!L11),'10 Corrected Budget'!L11,"")</x:f>
        <x:v>-25291.666666666668</x:v>
      </x:c>
      <x:c r="M20" s="147" t="n">
        <x:f>IF(ISNUMBER('10 Corrected Budget'!M11),'10 Corrected Budget'!M11,"")</x:f>
        <x:v>-25791.666666666668</x:v>
      </x:c>
      <x:c r="N20" s="147" t="n">
        <x:f>IF(ISNUMBER('10 Corrected Budget'!N11),'10 Corrected Budget'!N11,"")</x:f>
        <x:v>-24791.666666666668</x:v>
      </x:c>
      <x:c r="O20" s="147" t="n">
        <x:f>IF(ISNUMBER('10 Corrected Budget'!O11),'10 Corrected Budget'!O11,"")</x:f>
        <x:v>-23291.666666666668</x:v>
      </x:c>
      <x:c r="P20" s="153" t="n">
        <x:f>IF(ISNUMBER('10 Corrected Budget'!P11),'10 Corrected Budget'!P11,"")</x:f>
        <x:v>-283833.3333333333</x:v>
      </x:c>
    </x:row>
    <x:row r="21" ht="24" customHeight="1">
      <x:c r="B21" s="145"/>
      <x:c r="C21" s="159" t="str">
        <x:v>Part 2 Management plan</x:v>
      </x:c>
      <x:c r="D21" s="148" t="n">
        <x:f>IF(ISNUMBER('12 Management Budget'!D11),'12 Management Budget'!D11,"")</x:f>
        <x:v>-24875</x:v>
      </x:c>
      <x:c r="E21" s="148" t="n">
        <x:f>IF(ISNUMBER('12 Management Budget'!E11),'12 Management Budget'!E11,"")</x:f>
        <x:v>-24375</x:v>
      </x:c>
      <x:c r="F21" s="148" t="n">
        <x:f>IF(ISNUMBER('12 Management Budget'!F11),'12 Management Budget'!F11,"")</x:f>
        <x:v>-23625</x:v>
      </x:c>
      <x:c r="G21" s="148" t="n">
        <x:f>IF(ISNUMBER('12 Management Budget'!G11),'12 Management Budget'!G11,"")</x:f>
        <x:v>-23125</x:v>
      </x:c>
      <x:c r="H21" s="148" t="n">
        <x:f>IF(ISNUMBER('12 Management Budget'!H11),'12 Management Budget'!H11,"")</x:f>
        <x:v>-25291.666666666668</x:v>
      </x:c>
      <x:c r="I21" s="148" t="n">
        <x:f>IF(ISNUMBER('12 Management Budget'!I11),'12 Management Budget'!I11,"")</x:f>
        <x:v>-24791.666666666668</x:v>
      </x:c>
      <x:c r="J21" s="148" t="n">
        <x:f>IF(ISNUMBER('12 Management Budget'!J11),'12 Management Budget'!J11,"")</x:f>
        <x:v>-21791.666666666668</x:v>
      </x:c>
      <x:c r="K21" s="148" t="n">
        <x:f>IF(ISNUMBER('12 Management Budget'!K11),'12 Management Budget'!K11,"")</x:f>
        <x:v>-22791.666666666668</x:v>
      </x:c>
      <x:c r="L21" s="148" t="n">
        <x:f>IF(ISNUMBER('12 Management Budget'!L11),'12 Management Budget'!L11,"")</x:f>
        <x:v>-25291.666666666668</x:v>
      </x:c>
      <x:c r="M21" s="148" t="n">
        <x:f>IF(ISNUMBER('12 Management Budget'!M11),'12 Management Budget'!M11,"")</x:f>
        <x:v>-25791.666666666668</x:v>
      </x:c>
      <x:c r="N21" s="148" t="n">
        <x:f>IF(ISNUMBER('12 Management Budget'!N11),'12 Management Budget'!N11,"")</x:f>
        <x:v>-24791.666666666668</x:v>
      </x:c>
      <x:c r="O21" s="148" t="n">
        <x:f>IF(ISNUMBER('12 Management Budget'!O11),'12 Management Budget'!O11,"")</x:f>
        <x:v>-23291.666666666668</x:v>
      </x:c>
      <x:c r="P21" s="155" t="n">
        <x:f>IF(ISNUMBER('12 Management Budget'!P11),'12 Management Budget'!P11,"")</x:f>
        <x:v>-289833.3333333333</x:v>
      </x:c>
    </x:row>
    <x:row r="22" ht="24" customHeight="1">
      <x:c r="B22" s="103"/>
      <x:c r="C22" s="104"/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56"/>
    </x:row>
    <x:row r="23" ht="24" customHeight="1">
      <x:c r="B23" s="150" t="str">
        <x:v>Operating result</x:v>
      </x:c>
      <x:c r="C23" s="160" t="str">
        <x:v>Original draft</x:v>
      </x:c>
      <x:c r="D23" s="151" t="n">
        <x:f>IF(ISNUMBER('08 Draft P&amp;L'!D12),'08 Draft P&amp;L'!D12,"")</x:f>
        <x:v>26775</x:v>
      </x:c>
      <x:c r="E23" s="151" t="n">
        <x:f>IF(ISNUMBER('08 Draft P&amp;L'!E12),'08 Draft P&amp;L'!E12,"")</x:f>
        <x:v>32820</x:v>
      </x:c>
      <x:c r="F23" s="151" t="n">
        <x:f>IF(ISNUMBER('08 Draft P&amp;L'!F12),'08 Draft P&amp;L'!F12,"")</x:f>
        <x:v>39025</x:v>
      </x:c>
      <x:c r="G23" s="151" t="n">
        <x:f>IF(ISNUMBER('08 Draft P&amp;L'!G12),'08 Draft P&amp;L'!G12,"")</x:f>
        <x:v>48822.5</x:v>
      </x:c>
      <x:c r="H23" s="151" t="n">
        <x:f>IF(ISNUMBER('08 Draft P&amp;L'!H12),'08 Draft P&amp;L'!H12,"")</x:f>
        <x:v>39970</x:v>
      </x:c>
      <x:c r="I23" s="151" t="n">
        <x:f>IF(ISNUMBER('08 Draft P&amp;L'!I12),'08 Draft P&amp;L'!I12,"")</x:f>
        <x:v>42750</x:v>
      </x:c>
      <x:c r="J23" s="151" t="n">
        <x:f>IF(ISNUMBER('08 Draft P&amp;L'!J12),'08 Draft P&amp;L'!J12,"")</x:f>
        <x:v>37650</x:v>
      </x:c>
      <x:c r="K23" s="151" t="n">
        <x:f>IF(ISNUMBER('08 Draft P&amp;L'!K12),'08 Draft P&amp;L'!K12,"")</x:f>
        <x:v>64725</x:v>
      </x:c>
      <x:c r="L23" s="151" t="n">
        <x:f>IF(ISNUMBER('08 Draft P&amp;L'!L12),'08 Draft P&amp;L'!L12,"")</x:f>
        <x:v>75005</x:v>
      </x:c>
      <x:c r="M23" s="151" t="n">
        <x:f>IF(ISNUMBER('08 Draft P&amp;L'!M12),'08 Draft P&amp;L'!M12,"")</x:f>
        <x:v>90277.5</x:v>
      </x:c>
      <x:c r="N23" s="151" t="n">
        <x:f>IF(ISNUMBER('08 Draft P&amp;L'!N12),'08 Draft P&amp;L'!N12,"")</x:f>
        <x:v>69035</x:v>
      </x:c>
      <x:c r="O23" s="151" t="n">
        <x:f>IF(ISNUMBER('08 Draft P&amp;L'!O12),'08 Draft P&amp;L'!O12,"")</x:f>
        <x:v>60450</x:v>
      </x:c>
      <x:c r="P23" s="151" t="n">
        <x:f>IF(ISNUMBER('08 Draft P&amp;L'!P12),'08 Draft P&amp;L'!P12,"")</x:f>
        <x:v>627305</x:v>
      </x:c>
    </x:row>
    <x:row r="24" ht="24" customHeight="1">
      <x:c r="B24" s="152"/>
      <x:c r="C24" s="161" t="str">
        <x:v>Part 1 Red-pencil correction</x:v>
      </x:c>
      <x:c r="D24" s="153" t="n">
        <x:f>IF(ISNUMBER('10 Corrected Budget'!D12),'10 Corrected Budget'!D12,"")</x:f>
        <x:v>1268.7499999999964</x:v>
      </x:c>
      <x:c r="E24" s="153" t="n">
        <x:f>IF(ISNUMBER('10 Corrected Budget'!E12),'10 Corrected Budget'!E12,"")</x:f>
        <x:v>5420</x:v>
      </x:c>
      <x:c r="F24" s="153" t="n">
        <x:f>IF(ISNUMBER('10 Corrected Budget'!F12),'10 Corrected Budget'!F12,"")</x:f>
        <x:v>-5455.576923076922</x:v>
      </x:c>
      <x:c r="G24" s="153" t="n">
        <x:f>IF(ISNUMBER('10 Corrected Budget'!G12),'10 Corrected Budget'!G12,"")</x:f>
        <x:v>1931.923076923078</x:v>
      </x:c>
      <x:c r="H24" s="153" t="n">
        <x:f>IF(ISNUMBER('10 Corrected Budget'!H12),'10 Corrected Budget'!H12,"")</x:f>
        <x:v>-6135.916666666668</x:v>
      </x:c>
      <x:c r="I24" s="153" t="n">
        <x:f>IF(ISNUMBER('10 Corrected Budget'!I12),'10 Corrected Budget'!I12,"")</x:f>
        <x:v>-10383.072916666668</x:v>
      </x:c>
      <x:c r="J24" s="153" t="n">
        <x:f>IF(ISNUMBER('10 Corrected Budget'!J12),'10 Corrected Budget'!J12,"")</x:f>
        <x:v>-14458.29614396442</x:v>
      </x:c>
      <x:c r="K24" s="153" t="n">
        <x:f>IF(ISNUMBER('10 Corrected Budget'!K12),'10 Corrected Budget'!K12,"")</x:f>
        <x:v>-5094.518211455837</x:v>
      </x:c>
      <x:c r="L24" s="153" t="n">
        <x:f>IF(ISNUMBER('10 Corrected Budget'!L12),'10 Corrected Budget'!L12,"")</x:f>
        <x:v>6815.528963447548</x:v>
      </x:c>
      <x:c r="M24" s="153" t="n">
        <x:f>IF(ISNUMBER('10 Corrected Budget'!M12),'10 Corrected Budget'!M12,"")</x:f>
        <x:v>5527.3954487553165</x:v>
      </x:c>
      <x:c r="N24" s="153" t="n">
        <x:f>IF(ISNUMBER('10 Corrected Budget'!N12),'10 Corrected Budget'!N12,"")</x:f>
        <x:v>-2503.3706680218747</x:v>
      </x:c>
      <x:c r="O24" s="153" t="n">
        <x:f>IF(ISNUMBER('10 Corrected Budget'!O12),'10 Corrected Budget'!O12,"")</x:f>
        <x:v>-3480.5390029578775</x:v>
      </x:c>
      <x:c r="P24" s="153" t="n">
        <x:f>IF(ISNUMBER('10 Corrected Budget'!P12),'10 Corrected Budget'!P12,"")</x:f>
        <x:v>-26547.69304368433</x:v>
      </x:c>
    </x:row>
    <x:row r="25" ht="24" customHeight="1">
      <x:c r="B25" s="154"/>
      <x:c r="C25" s="162" t="str">
        <x:v>Part 2 Management plan</x:v>
      </x:c>
      <x:c r="D25" s="155" t="n">
        <x:f>IF(ISNUMBER('12 Management Budget'!D12),'12 Management Budget'!D12,"")</x:f>
        <x:v>1268.7499999999964</x:v>
      </x:c>
      <x:c r="E25" s="155" t="n">
        <x:f>IF(ISNUMBER('12 Management Budget'!E12),'12 Management Budget'!E12,"")</x:f>
        <x:v>5420</x:v>
      </x:c>
      <x:c r="F25" s="155" t="n">
        <x:f>IF(ISNUMBER('12 Management Budget'!F12),'12 Management Budget'!F12,"")</x:f>
        <x:v>-6955.576923076922</x:v>
      </x:c>
      <x:c r="G25" s="155" t="n">
        <x:f>IF(ISNUMBER('12 Management Budget'!G12),'12 Management Budget'!G12,"")</x:f>
        <x:v>431.92307692307804</x:v>
      </x:c>
      <x:c r="H25" s="155" t="n">
        <x:f>IF(ISNUMBER('12 Management Budget'!H12),'12 Management Budget'!H12,"")</x:f>
        <x:v>-1276.07560706402</x:v>
      </x:c>
      <x:c r="I25" s="155" t="n">
        <x:f>IF(ISNUMBER('12 Management Budget'!I12),'12 Management Budget'!I12,"")</x:f>
        <x:v>-7174.531939845478</x:v>
      </x:c>
      <x:c r="J25" s="155" t="n">
        <x:f>IF(ISNUMBER('12 Management Budget'!J12),'12 Management Budget'!J12,"")</x:f>
        <x:v>-12367.80990780923</x:v>
      </x:c>
      <x:c r="K25" s="155" t="n">
        <x:f>IF(ISNUMBER('12 Management Budget'!K12),'12 Management Budget'!K12,"")</x:f>
        <x:v>5000.1578987310095</x:v>
      </x:c>
      <x:c r="L25" s="155" t="n">
        <x:f>IF(ISNUMBER('12 Management Budget'!L12),'12 Management Budget'!L12,"")</x:f>
        <x:v>22246.669978768045</x:v>
      </x:c>
      <x:c r="M25" s="155" t="n">
        <x:f>IF(ISNUMBER('12 Management Budget'!M12),'12 Management Budget'!M12,"")</x:f>
        <x:v>27519.344820303977</x:v>
      </x:c>
      <x:c r="N25" s="155" t="n">
        <x:f>IF(ISNUMBER('12 Management Budget'!N12),'12 Management Budget'!N12,"")</x:f>
        <x:v>8485.831747953413</x:v>
      </x:c>
      <x:c r="O25" s="155" t="n">
        <x:f>IF(ISNUMBER('12 Management Budget'!O12),'12 Management Budget'!O12,"")</x:f>
        <x:v>3412.782366893738</x:v>
      </x:c>
      <x:c r="P25" s="155" t="n">
        <x:f>IF(ISNUMBER('12 Management Budget'!P12),'12 Management Budget'!P12,"")</x:f>
        <x:v>46011.46551177761</x:v>
      </x:c>
    </x:row>
    <x:row r="26">
      <x:c r="B26" s="103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3"/>
      <x:c r="P26" s="103"/>
    </x:row>
    <x:row r="27">
      <x:c r="B27" s="103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</x:row>
    <x:row r="28" ht="30" customHeight="1">
      <x:c r="B28" s="110" t="str">
        <x:v>Complete both budgets. The comparison fills automatically; no trainer answers are included.</x:v>
      </x:c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31" hidden="0" customWidth="1"/>
    <x:col min="3" max="3" width="4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2">
      <x:c r="B2" s="164" t="str">
        <x:v>Part 1 Evidence Based Forecast Build</x:v>
      </x:c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4"/>
      <x:c r="O2" s="164"/>
      <x:c r="P2" s="164"/>
    </x:row>
    <x:row r="3">
      <x:c r="B3" s="165" t="str">
        <x:v>Existing decisions only. Sales are tied to historical productivity, planned marketing support, actual staffing dates and the registered-program floor. EUR excluding VAT.</x:v>
      </x:c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  <x:c r="O3" s="165"/>
      <x:c r="P3" s="165"/>
    </x:row>
    <x:row r="4"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B5" s="182" t="str">
        <x:v>Sales and delivery forecast</x:v>
      </x:c>
      <x:c r="C5" s="183"/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  <x:c r="O5" s="183"/>
      <x:c r="P5" s="184"/>
    </x:row>
    <x:row r="6" ht="24" customHeight="1">
      <x:c r="B6" s="170" t="str">
        <x:v>Line</x:v>
      </x:c>
      <x:c r="C6" s="171" t="str">
        <x:v>Method or source</x:v>
      </x:c>
      <x:c r="D6" s="171" t="str">
        <x:v>Jan</x:v>
      </x:c>
      <x:c r="E6" s="171" t="str">
        <x:v>Feb</x:v>
      </x:c>
      <x:c r="F6" s="171" t="str">
        <x:v>Mar</x:v>
      </x:c>
      <x:c r="G6" s="171" t="str">
        <x:v>Apr</x:v>
      </x:c>
      <x:c r="H6" s="171" t="str">
        <x:v>May</x:v>
      </x:c>
      <x:c r="I6" s="171" t="str">
        <x:v>Jun</x:v>
      </x:c>
      <x:c r="J6" s="171" t="str">
        <x:v>Jul</x:v>
      </x:c>
      <x:c r="K6" s="171" t="str">
        <x:v>Aug</x:v>
      </x:c>
      <x:c r="L6" s="171" t="str">
        <x:v>Sep</x:v>
      </x:c>
      <x:c r="M6" s="171" t="str">
        <x:v>Oct</x:v>
      </x:c>
      <x:c r="N6" s="171" t="str">
        <x:v>Nov</x:v>
      </x:c>
      <x:c r="O6" s="171" t="str">
        <x:v>Dec</x:v>
      </x:c>
      <x:c r="P6" s="172" t="str">
        <x:v>FY Total</x:v>
      </x:c>
    </x:row>
    <x:row r="7">
      <x:c r="B7" s="174" t="str">
        <x:v>2025 marketing spend</x:v>
      </x:c>
      <x:c r="C7" s="174" t="str">
        <x:v>03 Prior Year Marketing row 7</x:v>
      </x:c>
      <x:c r="D7" s="199" t="n">
        <x:f>'03 Prior Year Marketing'!D7</x:f>
        <x:v>6000</x:v>
      </x:c>
      <x:c r="E7" s="199" t="n">
        <x:f>'03 Prior Year Marketing'!E7</x:f>
        <x:v>5000</x:v>
      </x:c>
      <x:c r="F7" s="199" t="n">
        <x:f>'03 Prior Year Marketing'!F7</x:f>
        <x:v>6500</x:v>
      </x:c>
      <x:c r="G7" s="199" t="n">
        <x:f>'03 Prior Year Marketing'!G7</x:f>
        <x:v>6500</x:v>
      </x:c>
      <x:c r="H7" s="199" t="n">
        <x:f>'03 Prior Year Marketing'!H7</x:f>
        <x:v>5000</x:v>
      </x:c>
      <x:c r="I7" s="199" t="n">
        <x:f>'03 Prior Year Marketing'!I7</x:f>
        <x:v>4000</x:v>
      </x:c>
      <x:c r="J7" s="199" t="n">
        <x:f>'03 Prior Year Marketing'!J7</x:f>
        <x:v>2500</x:v>
      </x:c>
      <x:c r="K7" s="199" t="n">
        <x:f>'03 Prior Year Marketing'!K7</x:f>
        <x:v>3500</x:v>
      </x:c>
      <x:c r="L7" s="199" t="n">
        <x:f>'03 Prior Year Marketing'!L7</x:f>
        <x:v>7500</x:v>
      </x:c>
      <x:c r="M7" s="199" t="n">
        <x:f>'03 Prior Year Marketing'!M7</x:f>
        <x:v>8000</x:v>
      </x:c>
      <x:c r="N7" s="199" t="n">
        <x:f>'03 Prior Year Marketing'!N7</x:f>
        <x:v>6500</x:v>
      </x:c>
      <x:c r="O7" s="199" t="n">
        <x:f>'03 Prior Year Marketing'!O7</x:f>
        <x:v>4500</x:v>
      </x:c>
      <x:c r="P7" s="199" t="n">
        <x:f>SUM(D7:O7)</x:f>
        <x:v>65500</x:v>
      </x:c>
    </x:row>
    <x:row r="8">
      <x:c r="B8" s="176" t="str">
        <x:v>2026 planned marketing spend</x:v>
      </x:c>
      <x:c r="C8" s="176" t="str">
        <x:v>07 Draft Operating Costs row 11</x:v>
      </x:c>
      <x:c r="D8" s="200" t="n">
        <x:f>'07 Draft Operating Costs'!D11</x:f>
        <x:v>5500</x:v>
      </x:c>
      <x:c r="E8" s="200" t="n">
        <x:f>'07 Draft Operating Costs'!E11</x:f>
        <x:v>5000</x:v>
      </x:c>
      <x:c r="F8" s="200" t="n">
        <x:f>'07 Draft Operating Costs'!F11</x:f>
        <x:v>5000</x:v>
      </x:c>
      <x:c r="G8" s="200" t="n">
        <x:f>'07 Draft Operating Costs'!G11</x:f>
        <x:v>4500</x:v>
      </x:c>
      <x:c r="H8" s="200" t="n">
        <x:f>'07 Draft Operating Costs'!H11</x:f>
        <x:v>4000</x:v>
      </x:c>
      <x:c r="I8" s="200" t="n">
        <x:f>'07 Draft Operating Costs'!I11</x:f>
        <x:v>3500</x:v>
      </x:c>
      <x:c r="J8" s="200" t="n">
        <x:f>'07 Draft Operating Costs'!J11</x:f>
        <x:v>2000</x:v>
      </x:c>
      <x:c r="K8" s="200" t="n">
        <x:f>'07 Draft Operating Costs'!K11</x:f>
        <x:v>3000</x:v>
      </x:c>
      <x:c r="L8" s="200" t="n">
        <x:f>'07 Draft Operating Costs'!L11</x:f>
        <x:v>5500</x:v>
      </x:c>
      <x:c r="M8" s="200" t="n">
        <x:f>'07 Draft Operating Costs'!M11</x:f>
        <x:v>6000</x:v>
      </x:c>
      <x:c r="N8" s="200" t="n">
        <x:f>'07 Draft Operating Costs'!N11</x:f>
        <x:v>5000</x:v>
      </x:c>
      <x:c r="O8" s="200" t="n">
        <x:f>'07 Draft Operating Costs'!O11</x:f>
        <x:v>3500</x:v>
      </x:c>
      <x:c r="P8" s="200" t="n">
        <x:f>SUM(D8:O8)</x:f>
        <x:v>52500</x:v>
      </x:c>
    </x:row>
    <x:row r="9">
      <x:c r="B9" s="176" t="str">
        <x:v>Marketing support factor</x:v>
      </x:c>
      <x:c r="C9" s="176" t="str">
        <x:v>75% non-marketing sales support plus 25% indexed to planned marketing spend</x:v>
      </x:c>
      <x:c r="D9" s="204" t="n">
        <x:f>IF(D7=0,1,75%+25%*(D8/D7))</x:f>
        <x:v>0.9791666666666666</x:v>
      </x:c>
      <x:c r="E9" s="204" t="n">
        <x:f>IF(E7=0,1,75%+25%*(E8/E7))</x:f>
        <x:v>1</x:v>
      </x:c>
      <x:c r="F9" s="204" t="n">
        <x:f>IF(F7=0,1,75%+25%*(F8/F7))</x:f>
        <x:v>0.9423076923076923</x:v>
      </x:c>
      <x:c r="G9" s="204" t="n">
        <x:f>IF(G7=0,1,75%+25%*(G8/G7))</x:f>
        <x:v>0.9230769230769231</x:v>
      </x:c>
      <x:c r="H9" s="204" t="n">
        <x:f>IF(H7=0,1,75%+25%*(H8/H7))</x:f>
        <x:v>0.95</x:v>
      </x:c>
      <x:c r="I9" s="204" t="n">
        <x:f>IF(I7=0,1,75%+25%*(I8/I7))</x:f>
        <x:v>0.96875</x:v>
      </x:c>
      <x:c r="J9" s="204" t="n">
        <x:f>IF(J7=0,1,75%+25%*(J8/J7))</x:f>
        <x:v>0.95</x:v>
      </x:c>
      <x:c r="K9" s="204" t="n">
        <x:f>IF(K7=0,1,75%+25%*(K8/K7))</x:f>
        <x:v>0.9642857142857143</x:v>
      </x:c>
      <x:c r="L9" s="204" t="n">
        <x:f>IF(L7=0,1,75%+25%*(L8/L7))</x:f>
        <x:v>0.9333333333333333</x:v>
      </x:c>
      <x:c r="M9" s="204" t="n">
        <x:f>IF(M7=0,1,75%+25%*(M8/M7))</x:f>
        <x:v>0.9375</x:v>
      </x:c>
      <x:c r="N9" s="204" t="n">
        <x:f>IF(N7=0,1,75%+25%*(N8/N7))</x:f>
        <x:v>0.9423076923076923</x:v>
      </x:c>
      <x:c r="O9" s="204" t="n">
        <x:f>IF(O7=0,1,75%+25%*(O8/O7))</x:f>
        <x:v>0.9444444444444444</x:v>
      </x:c>
      <x:c r="P9" s="204" t="n">
        <x:f>AVERAGE(D9:O9)</x:f>
        <x:v>0.9529310388685389</x:v>
      </x:c>
    </x:row>
    <x:row r="10">
      <x:c r="B10" s="176"/>
      <x:c r="C10" s="176"/>
      <x:c r="D10" s="177"/>
      <x:c r="E10" s="177"/>
      <x:c r="F10" s="177"/>
      <x:c r="G10" s="177"/>
      <x:c r="H10" s="177"/>
      <x:c r="I10" s="177"/>
      <x:c r="J10" s="177"/>
      <x:c r="K10" s="177"/>
      <x:c r="L10" s="177"/>
      <x:c r="M10" s="177"/>
      <x:c r="N10" s="177"/>
      <x:c r="O10" s="177"/>
      <x:c r="P10" s="177"/>
    </x:row>
    <x:row r="11">
      <x:c r="B11" s="176" t="str">
        <x:v>Anna 2025 revenue</x:v>
      </x:c>
      <x:c r="C11" s="176" t="str">
        <x:v>02 Prior Year Sales rows 7 to 9</x:v>
      </x:c>
      <x:c r="D11" s="200" t="n">
        <x:f>SUM('02 Prior Year Sales'!D7:D9)</x:f>
        <x:v>15500</x:v>
      </x:c>
      <x:c r="E11" s="200" t="n">
        <x:f>SUM('02 Prior Year Sales'!E7:E9)</x:f>
        <x:v>11500</x:v>
      </x:c>
      <x:c r="F11" s="200" t="n">
        <x:f>SUM('02 Prior Year Sales'!F7:F9)</x:f>
        <x:v>16500</x:v>
      </x:c>
      <x:c r="G11" s="200" t="n">
        <x:f>SUM('02 Prior Year Sales'!G7:G9)</x:f>
        <x:v>19500</x:v>
      </x:c>
      <x:c r="H11" s="200" t="n">
        <x:f>SUM('02 Prior Year Sales'!H7:H9)</x:f>
        <x:v>11500</x:v>
      </x:c>
      <x:c r="I11" s="200" t="n">
        <x:f>SUM('02 Prior Year Sales'!I7:I9)</x:f>
        <x:v>8500</x:v>
      </x:c>
      <x:c r="J11" s="200" t="n">
        <x:f>SUM('02 Prior Year Sales'!J7:J9)</x:f>
        <x:v>3000</x:v>
      </x:c>
      <x:c r="K11" s="200" t="n">
        <x:f>SUM('02 Prior Year Sales'!K7:K9)</x:f>
        <x:v>8500</x:v>
      </x:c>
      <x:c r="L11" s="200" t="n">
        <x:f>SUM('02 Prior Year Sales'!L7:L9)</x:f>
        <x:v>17000</x:v>
      </x:c>
      <x:c r="M11" s="200" t="n">
        <x:f>SUM('02 Prior Year Sales'!M7:M9)</x:f>
        <x:v>22500</x:v>
      </x:c>
      <x:c r="N11" s="200" t="n">
        <x:f>SUM('02 Prior Year Sales'!N7:N9)</x:f>
        <x:v>9000</x:v>
      </x:c>
      <x:c r="O11" s="200" t="n">
        <x:f>SUM('02 Prior Year Sales'!O7:O9)</x:f>
        <x:v>11500</x:v>
      </x:c>
      <x:c r="P11" s="200" t="n">
        <x:f>SUM(D11:O11)</x:f>
        <x:v>154500</x:v>
      </x:c>
    </x:row>
    <x:row r="12">
      <x:c r="B12" s="176" t="str">
        <x:v>Anna availability</x:v>
      </x:c>
      <x:c r="C12" s="176" t="str">
        <x:v>Employed Jan-Feb only</x:v>
      </x:c>
      <x:c r="D12" s="205" t="n">
        <x:v>1</x:v>
      </x:c>
      <x:c r="E12" s="205" t="n">
        <x:v>1</x:v>
      </x:c>
      <x:c r="F12" s="205" t="n">
        <x:v>0</x:v>
      </x:c>
      <x:c r="G12" s="205" t="n">
        <x:v>0</x:v>
      </x:c>
      <x:c r="H12" s="205" t="n">
        <x:v>0</x:v>
      </x:c>
      <x:c r="I12" s="205" t="n">
        <x:v>0</x:v>
      </x:c>
      <x:c r="J12" s="205" t="n">
        <x:v>0</x:v>
      </x:c>
      <x:c r="K12" s="205" t="n">
        <x:v>0</x:v>
      </x:c>
      <x:c r="L12" s="205" t="n">
        <x:v>0</x:v>
      </x:c>
      <x:c r="M12" s="205" t="n">
        <x:v>0</x:v>
      </x:c>
      <x:c r="N12" s="205" t="n">
        <x:v>0</x:v>
      </x:c>
      <x:c r="O12" s="205" t="n">
        <x:v>0</x:v>
      </x:c>
      <x:c r="P12" s="204" t="n">
        <x:f>SUM(D12:O12)</x:f>
        <x:v>2</x:v>
      </x:c>
    </x:row>
    <x:row r="13">
      <x:c r="B13" s="176" t="str">
        <x:v>Anna corrected revenue</x:v>
      </x:c>
      <x:c r="C13" s="176" t="str">
        <x:v>Prior-year monthly revenue x marketing support x availability</x:v>
      </x:c>
      <x:c r="D13" s="201" t="n">
        <x:f>D11*D12*D$9</x:f>
        <x:v>15177.083333333332</x:v>
      </x:c>
      <x:c r="E13" s="201" t="n">
        <x:f>E11*E12*E$9</x:f>
        <x:v>11500</x:v>
      </x:c>
      <x:c r="F13" s="201" t="n">
        <x:f>F11*F12*F$9</x:f>
        <x:v>0</x:v>
      </x:c>
      <x:c r="G13" s="201" t="n">
        <x:f>G11*G12*G$9</x:f>
        <x:v>0</x:v>
      </x:c>
      <x:c r="H13" s="201" t="n">
        <x:f>H11*H12*H$9</x:f>
        <x:v>0</x:v>
      </x:c>
      <x:c r="I13" s="201" t="n">
        <x:f>I11*I12*I$9</x:f>
        <x:v>0</x:v>
      </x:c>
      <x:c r="J13" s="201" t="n">
        <x:f>J11*J12*J$9</x:f>
        <x:v>0</x:v>
      </x:c>
      <x:c r="K13" s="201" t="n">
        <x:f>K11*K12*K$9</x:f>
        <x:v>0</x:v>
      </x:c>
      <x:c r="L13" s="201" t="n">
        <x:f>L11*L12*L$9</x:f>
        <x:v>0</x:v>
      </x:c>
      <x:c r="M13" s="201" t="n">
        <x:f>M11*M12*M$9</x:f>
        <x:v>0</x:v>
      </x:c>
      <x:c r="N13" s="201" t="n">
        <x:f>N11*N12*N$9</x:f>
        <x:v>0</x:v>
      </x:c>
      <x:c r="O13" s="201" t="n">
        <x:f>O11*O12*O$9</x:f>
        <x:v>0</x:v>
      </x:c>
      <x:c r="P13" s="201" t="n">
        <x:f>SUM(D13:O13)</x:f>
        <x:v>26677.083333333332</x:v>
      </x:c>
    </x:row>
    <x:row r="14">
      <x:c r="B14" s="176" t="str">
        <x:v>Mark 2025 revenue</x:v>
      </x:c>
      <x:c r="C14" s="176" t="str">
        <x:v>02 Prior Year Sales rows 10 to 12</x:v>
      </x:c>
      <x:c r="D14" s="200" t="n">
        <x:f>SUM('02 Prior Year Sales'!D10:D12)</x:f>
        <x:v>14000</x:v>
      </x:c>
      <x:c r="E14" s="200" t="n">
        <x:f>SUM('02 Prior Year Sales'!E10:E12)</x:f>
        <x:v>17000</x:v>
      </x:c>
      <x:c r="F14" s="200" t="n">
        <x:f>SUM('02 Prior Year Sales'!F10:F12)</x:f>
        <x:v>11500</x:v>
      </x:c>
      <x:c r="G14" s="200" t="n">
        <x:f>SUM('02 Prior Year Sales'!G10:G12)</x:f>
        <x:v>20000</x:v>
      </x:c>
      <x:c r="H14" s="200" t="n">
        <x:f>SUM('02 Prior Year Sales'!H10:H12)</x:f>
        <x:v>14500</x:v>
      </x:c>
      <x:c r="I14" s="200" t="n">
        <x:f>SUM('02 Prior Year Sales'!I10:I12)</x:f>
        <x:v>11500</x:v>
      </x:c>
      <x:c r="J14" s="200" t="n">
        <x:f>SUM('02 Prior Year Sales'!J10:J12)</x:f>
        <x:v>8000</x:v>
      </x:c>
      <x:c r="K14" s="200" t="n">
        <x:f>SUM('02 Prior Year Sales'!K10:K12)</x:f>
        <x:v>11000</x:v>
      </x:c>
      <x:c r="L14" s="200" t="n">
        <x:f>SUM('02 Prior Year Sales'!L10:L12)</x:f>
        <x:v>20000</x:v>
      </x:c>
      <x:c r="M14" s="200" t="n">
        <x:f>SUM('02 Prior Year Sales'!M10:M12)</x:f>
        <x:v>18000</x:v>
      </x:c>
      <x:c r="N14" s="200" t="n">
        <x:f>SUM('02 Prior Year Sales'!N10:N12)</x:f>
        <x:v>14500</x:v>
      </x:c>
      <x:c r="O14" s="200" t="n">
        <x:f>SUM('02 Prior Year Sales'!O10:O12)</x:f>
        <x:v>11500</x:v>
      </x:c>
      <x:c r="P14" s="200" t="n">
        <x:f>SUM(D14:O14)</x:f>
        <x:v>171500</x:v>
      </x:c>
    </x:row>
    <x:row r="15">
      <x:c r="B15" s="176" t="str">
        <x:v>Mark availability</x:v>
      </x:c>
      <x:c r="C15" s="176" t="str">
        <x:v>Employed throughout 2026</x:v>
      </x:c>
      <x:c r="D15" s="205" t="n">
        <x:v>1</x:v>
      </x:c>
      <x:c r="E15" s="205" t="n">
        <x:v>1</x:v>
      </x:c>
      <x:c r="F15" s="205" t="n">
        <x:v>1</x:v>
      </x:c>
      <x:c r="G15" s="205" t="n">
        <x:v>1</x:v>
      </x:c>
      <x:c r="H15" s="205" t="n">
        <x:v>1</x:v>
      </x:c>
      <x:c r="I15" s="205" t="n">
        <x:v>1</x:v>
      </x:c>
      <x:c r="J15" s="205" t="n">
        <x:v>1</x:v>
      </x:c>
      <x:c r="K15" s="205" t="n">
        <x:v>1</x:v>
      </x:c>
      <x:c r="L15" s="205" t="n">
        <x:v>1</x:v>
      </x:c>
      <x:c r="M15" s="205" t="n">
        <x:v>1</x:v>
      </x:c>
      <x:c r="N15" s="205" t="n">
        <x:v>1</x:v>
      </x:c>
      <x:c r="O15" s="205" t="n">
        <x:v>1</x:v>
      </x:c>
      <x:c r="P15" s="204" t="n">
        <x:f>SUM(D15:O15)</x:f>
        <x:v>12</x:v>
      </x:c>
    </x:row>
    <x:row r="16">
      <x:c r="B16" s="176" t="str">
        <x:v>Mark corrected revenue</x:v>
      </x:c>
      <x:c r="C16" s="176" t="str">
        <x:v>Prior-year monthly revenue x marketing support x availability</x:v>
      </x:c>
      <x:c r="D16" s="201" t="n">
        <x:f>D14*D15*D$9</x:f>
        <x:v>13708.333333333332</x:v>
      </x:c>
      <x:c r="E16" s="201" t="n">
        <x:f>E14*E15*E$9</x:f>
        <x:v>17000</x:v>
      </x:c>
      <x:c r="F16" s="201" t="n">
        <x:f>F14*F15*F$9</x:f>
        <x:v>10836.538461538461</x:v>
      </x:c>
      <x:c r="G16" s="201" t="n">
        <x:f>G14*G15*G$9</x:f>
        <x:v>18461.53846153846</x:v>
      </x:c>
      <x:c r="H16" s="201" t="n">
        <x:f>H14*H15*H$9</x:f>
        <x:v>13775</x:v>
      </x:c>
      <x:c r="I16" s="201" t="n">
        <x:f>I14*I15*I$9</x:f>
        <x:v>11140.625</x:v>
      </x:c>
      <x:c r="J16" s="201" t="n">
        <x:f>J14*J15*J$9</x:f>
        <x:v>7600</x:v>
      </x:c>
      <x:c r="K16" s="201" t="n">
        <x:f>K14*K15*K$9</x:f>
        <x:v>10607.142857142857</x:v>
      </x:c>
      <x:c r="L16" s="201" t="n">
        <x:f>L14*L15*L$9</x:f>
        <x:v>18666.666666666668</x:v>
      </x:c>
      <x:c r="M16" s="201" t="n">
        <x:f>M14*M15*M$9</x:f>
        <x:v>16875</x:v>
      </x:c>
      <x:c r="N16" s="201" t="n">
        <x:f>N14*N15*N$9</x:f>
        <x:v>13663.461538461539</x:v>
      </x:c>
      <x:c r="O16" s="201" t="n">
        <x:f>O14*O15*O$9</x:f>
        <x:v>10861.111111111111</x:v>
      </x:c>
      <x:c r="P16" s="201" t="n">
        <x:f>SUM(D16:O16)</x:f>
        <x:v>163195.41742979243</x:v>
      </x:c>
    </x:row>
    <x:row r="17">
      <x:c r="B17" s="176" t="str">
        <x:v>Linda 2025 revenue</x:v>
      </x:c>
      <x:c r="C17" s="176" t="str">
        <x:v>02 Prior Year Sales rows 13 to 15</x:v>
      </x:c>
      <x:c r="D17" s="200" t="n">
        <x:f>SUM('02 Prior Year Sales'!D13:D15)</x:f>
        <x:v>8000</x:v>
      </x:c>
      <x:c r="E17" s="200" t="n">
        <x:f>SUM('02 Prior Year Sales'!E13:E15)</x:f>
        <x:v>12000</x:v>
      </x:c>
      <x:c r="F17" s="200" t="n">
        <x:f>SUM('02 Prior Year Sales'!F13:F15)</x:f>
        <x:v>10500</x:v>
      </x:c>
      <x:c r="G17" s="200" t="n">
        <x:f>SUM('02 Prior Year Sales'!G13:G15)</x:f>
        <x:v>13500</x:v>
      </x:c>
      <x:c r="H17" s="200" t="n">
        <x:f>SUM('02 Prior Year Sales'!H13:H15)</x:f>
        <x:v>9500</x:v>
      </x:c>
      <x:c r="I17" s="200" t="n">
        <x:f>SUM('02 Prior Year Sales'!I13:I15)</x:f>
        <x:v>5000</x:v>
      </x:c>
      <x:c r="J17" s="200" t="n">
        <x:f>SUM('02 Prior Year Sales'!J13:J15)</x:f>
        <x:v>3500</x:v>
      </x:c>
      <x:c r="K17" s="200" t="n">
        <x:f>SUM('02 Prior Year Sales'!K13:K15)</x:f>
        <x:v>7000</x:v>
      </x:c>
      <x:c r="L17" s="200" t="n">
        <x:f>SUM('02 Prior Year Sales'!L13:L15)</x:f>
        <x:v>13000</x:v>
      </x:c>
      <x:c r="M17" s="200" t="n">
        <x:f>SUM('02 Prior Year Sales'!M13:M15)</x:f>
        <x:v>16500</x:v>
      </x:c>
      <x:c r="N17" s="200" t="n">
        <x:f>SUM('02 Prior Year Sales'!N13:N15)</x:f>
        <x:v>9000</x:v>
      </x:c>
      <x:c r="O17" s="200" t="n">
        <x:f>SUM('02 Prior Year Sales'!O13:O15)</x:f>
        <x:v>8500</x:v>
      </x:c>
      <x:c r="P17" s="200" t="n">
        <x:f>SUM(D17:O17)</x:f>
        <x:v>116000</x:v>
      </x:c>
    </x:row>
    <x:row r="18">
      <x:c r="B18" s="176" t="str">
        <x:v>Linda availability</x:v>
      </x:c>
      <x:c r="C18" s="176" t="str">
        <x:v>Employed throughout 2026</x:v>
      </x:c>
      <x:c r="D18" s="205" t="n">
        <x:v>1</x:v>
      </x:c>
      <x:c r="E18" s="205" t="n">
        <x:v>1</x:v>
      </x:c>
      <x:c r="F18" s="205" t="n">
        <x:v>1</x:v>
      </x:c>
      <x:c r="G18" s="205" t="n">
        <x:v>1</x:v>
      </x:c>
      <x:c r="H18" s="205" t="n">
        <x:v>1</x:v>
      </x:c>
      <x:c r="I18" s="205" t="n">
        <x:v>1</x:v>
      </x:c>
      <x:c r="J18" s="205" t="n">
        <x:v>1</x:v>
      </x:c>
      <x:c r="K18" s="205" t="n">
        <x:v>1</x:v>
      </x:c>
      <x:c r="L18" s="205" t="n">
        <x:v>1</x:v>
      </x:c>
      <x:c r="M18" s="205" t="n">
        <x:v>1</x:v>
      </x:c>
      <x:c r="N18" s="205" t="n">
        <x:v>1</x:v>
      </x:c>
      <x:c r="O18" s="205" t="n">
        <x:v>1</x:v>
      </x:c>
      <x:c r="P18" s="204" t="n">
        <x:f>SUM(D18:O18)</x:f>
        <x:v>12</x:v>
      </x:c>
    </x:row>
    <x:row r="19">
      <x:c r="B19" s="176" t="str">
        <x:v>Linda corrected revenue</x:v>
      </x:c>
      <x:c r="C19" s="176" t="str">
        <x:v>Prior-year monthly revenue x marketing support x availability</x:v>
      </x:c>
      <x:c r="D19" s="201" t="n">
        <x:f>D17*D18*D$9</x:f>
        <x:v>7833.333333333333</x:v>
      </x:c>
      <x:c r="E19" s="201" t="n">
        <x:f>E17*E18*E$9</x:f>
        <x:v>12000</x:v>
      </x:c>
      <x:c r="F19" s="201" t="n">
        <x:f>F17*F18*F$9</x:f>
        <x:v>9894.23076923077</x:v>
      </x:c>
      <x:c r="G19" s="201" t="n">
        <x:f>G17*G18*G$9</x:f>
        <x:v>12461.538461538463</x:v>
      </x:c>
      <x:c r="H19" s="201" t="n">
        <x:f>H17*H18*H$9</x:f>
        <x:v>9025</x:v>
      </x:c>
      <x:c r="I19" s="201" t="n">
        <x:f>I17*I18*I$9</x:f>
        <x:v>4843.75</x:v>
      </x:c>
      <x:c r="J19" s="201" t="n">
        <x:f>J17*J18*J$9</x:f>
        <x:v>3325</x:v>
      </x:c>
      <x:c r="K19" s="201" t="n">
        <x:f>K17*K18*K$9</x:f>
        <x:v>6750</x:v>
      </x:c>
      <x:c r="L19" s="201" t="n">
        <x:f>L17*L18*L$9</x:f>
        <x:v>12133.333333333334</x:v>
      </x:c>
      <x:c r="M19" s="201" t="n">
        <x:f>M17*M18*M$9</x:f>
        <x:v>15468.75</x:v>
      </x:c>
      <x:c r="N19" s="201" t="n">
        <x:f>N17*N18*N$9</x:f>
        <x:v>8480.76923076923</x:v>
      </x:c>
      <x:c r="O19" s="201" t="n">
        <x:f>O17*O18*O$9</x:f>
        <x:v>8027.777777777777</x:v>
      </x:c>
      <x:c r="P19" s="201" t="n">
        <x:f>SUM(D19:O19)</x:f>
        <x:v>110243.4829059829</x:v>
      </x:c>
    </x:row>
    <x:row r="20">
      <x:c r="B20" s="176" t="str">
        <x:v>Peter 2025 revenue</x:v>
      </x:c>
      <x:c r="C20" s="176" t="str">
        <x:v>02 Prior Year Sales rows 16 to 18</x:v>
      </x:c>
      <x:c r="D20" s="200" t="n">
        <x:f>SUM('02 Prior Year Sales'!D16:D18)</x:f>
        <x:v>7000</x:v>
      </x:c>
      <x:c r="E20" s="200" t="n">
        <x:f>SUM('02 Prior Year Sales'!E16:E18)</x:f>
        <x:v>10000</x:v>
      </x:c>
      <x:c r="F20" s="200" t="n">
        <x:f>SUM('02 Prior Year Sales'!F16:F18)</x:f>
        <x:v>7000</x:v>
      </x:c>
      <x:c r="G20" s="200" t="n">
        <x:f>SUM('02 Prior Year Sales'!G16:G18)</x:f>
        <x:v>10500</x:v>
      </x:c>
      <x:c r="H20" s="200" t="n">
        <x:f>SUM('02 Prior Year Sales'!H16:H18)</x:f>
        <x:v>7500</x:v>
      </x:c>
      <x:c r="I20" s="200" t="n">
        <x:f>SUM('02 Prior Year Sales'!I16:I18)</x:f>
        <x:v>4000</x:v>
      </x:c>
      <x:c r="J20" s="200" t="n">
        <x:f>SUM('02 Prior Year Sales'!J16:J18)</x:f>
        <x:v>500</x:v>
      </x:c>
      <x:c r="K20" s="200" t="n">
        <x:f>SUM('02 Prior Year Sales'!K16:K18)</x:f>
        <x:v>6500</x:v>
      </x:c>
      <x:c r="L20" s="200" t="n">
        <x:f>SUM('02 Prior Year Sales'!L16:L18)</x:f>
        <x:v>10500</x:v>
      </x:c>
      <x:c r="M20" s="200" t="n">
        <x:f>SUM('02 Prior Year Sales'!M16:M18)</x:f>
        <x:v>8500</x:v>
      </x:c>
      <x:c r="N20" s="200" t="n">
        <x:f>SUM('02 Prior Year Sales'!N16:N18)</x:f>
        <x:v>7500</x:v>
      </x:c>
      <x:c r="O20" s="200" t="n">
        <x:f>SUM('02 Prior Year Sales'!O16:O18)</x:f>
        <x:v>7000</x:v>
      </x:c>
      <x:c r="P20" s="200" t="n">
        <x:f>SUM(D20:O20)</x:f>
        <x:v>86500</x:v>
      </x:c>
    </x:row>
    <x:row r="21">
      <x:c r="B21" s="176" t="str">
        <x:v>Peter availability</x:v>
      </x:c>
      <x:c r="C21" s="176" t="str">
        <x:v>No unsupported sales uplift</x:v>
      </x:c>
      <x:c r="D21" s="205" t="n">
        <x:v>1</x:v>
      </x:c>
      <x:c r="E21" s="205" t="n">
        <x:v>1</x:v>
      </x:c>
      <x:c r="F21" s="205" t="n">
        <x:v>1</x:v>
      </x:c>
      <x:c r="G21" s="205" t="n">
        <x:v>1</x:v>
      </x:c>
      <x:c r="H21" s="205" t="n">
        <x:v>1</x:v>
      </x:c>
      <x:c r="I21" s="205" t="n">
        <x:v>1</x:v>
      </x:c>
      <x:c r="J21" s="205" t="n">
        <x:v>1</x:v>
      </x:c>
      <x:c r="K21" s="205" t="n">
        <x:v>1</x:v>
      </x:c>
      <x:c r="L21" s="205" t="n">
        <x:v>1</x:v>
      </x:c>
      <x:c r="M21" s="205" t="n">
        <x:v>1</x:v>
      </x:c>
      <x:c r="N21" s="205" t="n">
        <x:v>1</x:v>
      </x:c>
      <x:c r="O21" s="205" t="n">
        <x:v>1</x:v>
      </x:c>
      <x:c r="P21" s="204" t="n">
        <x:f>SUM(D21:O21)</x:f>
        <x:v>12</x:v>
      </x:c>
    </x:row>
    <x:row r="22">
      <x:c r="B22" s="176" t="str">
        <x:v>Peter corrected revenue</x:v>
      </x:c>
      <x:c r="C22" s="176" t="str">
        <x:v>Prior-year monthly revenue x marketing support x availability</x:v>
      </x:c>
      <x:c r="D22" s="201" t="n">
        <x:f>D20*D21*D$9</x:f>
        <x:v>6854.166666666666</x:v>
      </x:c>
      <x:c r="E22" s="201" t="n">
        <x:f>E20*E21*E$9</x:f>
        <x:v>10000</x:v>
      </x:c>
      <x:c r="F22" s="201" t="n">
        <x:f>F20*F21*F$9</x:f>
        <x:v>6596.153846153846</x:v>
      </x:c>
      <x:c r="G22" s="201" t="n">
        <x:f>G20*G21*G$9</x:f>
        <x:v>9692.307692307693</x:v>
      </x:c>
      <x:c r="H22" s="201" t="n">
        <x:f>H20*H21*H$9</x:f>
        <x:v>7125</x:v>
      </x:c>
      <x:c r="I22" s="201" t="n">
        <x:f>I20*I21*I$9</x:f>
        <x:v>3875</x:v>
      </x:c>
      <x:c r="J22" s="201" t="n">
        <x:f>J20*J21*J$9</x:f>
        <x:v>475</x:v>
      </x:c>
      <x:c r="K22" s="201" t="n">
        <x:f>K20*K21*K$9</x:f>
        <x:v>6267.857142857143</x:v>
      </x:c>
      <x:c r="L22" s="201" t="n">
        <x:f>L20*L21*L$9</x:f>
        <x:v>9800</x:v>
      </x:c>
      <x:c r="M22" s="201" t="n">
        <x:f>M20*M21*M$9</x:f>
        <x:v>7968.75</x:v>
      </x:c>
      <x:c r="N22" s="201" t="n">
        <x:f>N20*N21*N$9</x:f>
        <x:v>7067.307692307692</x:v>
      </x:c>
      <x:c r="O22" s="201" t="n">
        <x:f>O20*O21*O$9</x:f>
        <x:v>6611.111111111111</x:v>
      </x:c>
      <x:c r="P22" s="201" t="n">
        <x:f>SUM(D22:O22)</x:f>
        <x:v>82332.65415140415</x:v>
      </x:c>
    </x:row>
    <x:row r="23">
      <x:c r="B23" s="176" t="str">
        <x:v>Experienced seller benchmark</x:v>
      </x:c>
      <x:c r="C23" s="176" t="str">
        <x:v>Average 2025 monthly revenue for Mark, Linda and Peter</x:v>
      </x:c>
      <x:c r="D23" s="201" t="n">
        <x:f>AVERAGE(D14,D17,D20)</x:f>
        <x:v>9666.666666666666</x:v>
      </x:c>
      <x:c r="E23" s="201" t="n">
        <x:f>AVERAGE(E14,E17,E20)</x:f>
        <x:v>13000</x:v>
      </x:c>
      <x:c r="F23" s="201" t="n">
        <x:f>AVERAGE(F14,F17,F20)</x:f>
        <x:v>9666.666666666666</x:v>
      </x:c>
      <x:c r="G23" s="201" t="n">
        <x:f>AVERAGE(G14,G17,G20)</x:f>
        <x:v>14666.666666666666</x:v>
      </x:c>
      <x:c r="H23" s="201" t="n">
        <x:f>AVERAGE(H14,H17,H20)</x:f>
        <x:v>10500</x:v>
      </x:c>
      <x:c r="I23" s="201" t="n">
        <x:f>AVERAGE(I14,I17,I20)</x:f>
        <x:v>6833.333333333333</x:v>
      </x:c>
      <x:c r="J23" s="201" t="n">
        <x:f>AVERAGE(J14,J17,J20)</x:f>
        <x:v>4000</x:v>
      </x:c>
      <x:c r="K23" s="201" t="n">
        <x:f>AVERAGE(K14,K17,K20)</x:f>
        <x:v>8166.666666666667</x:v>
      </x:c>
      <x:c r="L23" s="201" t="n">
        <x:f>AVERAGE(L14,L17,L20)</x:f>
        <x:v>14500</x:v>
      </x:c>
      <x:c r="M23" s="201" t="n">
        <x:f>AVERAGE(M14,M17,M20)</x:f>
        <x:v>14333.333333333334</x:v>
      </x:c>
      <x:c r="N23" s="201" t="n">
        <x:f>AVERAGE(N14,N17,N20)</x:f>
        <x:v>10333.333333333334</x:v>
      </x:c>
      <x:c r="O23" s="201" t="n">
        <x:f>AVERAGE(O14,O17,O20)</x:f>
        <x:v>9000</x:v>
      </x:c>
      <x:c r="P23" s="201" t="n">
        <x:f>SUM(D23:O23)</x:f>
        <x:v>124666.66666666666</x:v>
      </x:c>
    </x:row>
    <x:row r="24">
      <x:c r="B24" s="176" t="str">
        <x:v>Ella productivity ramp</x:v>
      </x:c>
      <x:c r="C24" s="176" t="str">
        <x:v>May onboarding, Jun supervised, Jul partial, full from Aug</x:v>
      </x:c>
      <x:c r="D24" s="205" t="n">
        <x:v>0</x:v>
      </x:c>
      <x:c r="E24" s="205" t="n">
        <x:v>0</x:v>
      </x:c>
      <x:c r="F24" s="205" t="n">
        <x:v>0</x:v>
      </x:c>
      <x:c r="G24" s="205" t="n">
        <x:v>0</x:v>
      </x:c>
      <x:c r="H24" s="205" t="n">
        <x:v>0</x:v>
      </x:c>
      <x:c r="I24" s="205" t="n">
        <x:v>0.25</x:v>
      </x:c>
      <x:c r="J24" s="205" t="n">
        <x:v>0.5</x:v>
      </x:c>
      <x:c r="K24" s="205" t="n">
        <x:v>1</x:v>
      </x:c>
      <x:c r="L24" s="205" t="n">
        <x:v>1</x:v>
      </x:c>
      <x:c r="M24" s="205" t="n">
        <x:v>1</x:v>
      </x:c>
      <x:c r="N24" s="205" t="n">
        <x:v>1</x:v>
      </x:c>
      <x:c r="O24" s="205" t="n">
        <x:v>1</x:v>
      </x:c>
      <x:c r="P24" s="204" t="n">
        <x:f>SUM(D24:O24)</x:f>
        <x:v>5.75</x:v>
      </x:c>
    </x:row>
    <x:row r="25">
      <x:c r="B25" s="176" t="str">
        <x:v>Ella corrected revenue</x:v>
      </x:c>
      <x:c r="C25" s="176" t="str">
        <x:v>Experienced seller benchmark x marketing support x productivity ramp</x:v>
      </x:c>
      <x:c r="D25" s="201" t="n">
        <x:f>D23*D24*D$9</x:f>
        <x:v>0</x:v>
      </x:c>
      <x:c r="E25" s="201" t="n">
        <x:f>E23*E24*E$9</x:f>
        <x:v>0</x:v>
      </x:c>
      <x:c r="F25" s="201" t="n">
        <x:f>F23*F24*F$9</x:f>
        <x:v>0</x:v>
      </x:c>
      <x:c r="G25" s="201" t="n">
        <x:f>G23*G24*G$9</x:f>
        <x:v>0</x:v>
      </x:c>
      <x:c r="H25" s="201" t="n">
        <x:f>H23*H24*H$9</x:f>
        <x:v>0</x:v>
      </x:c>
      <x:c r="I25" s="201" t="n">
        <x:f>I23*I24*I$9</x:f>
        <x:v>1654.9479166666665</x:v>
      </x:c>
      <x:c r="J25" s="201" t="n">
        <x:f>J23*J24*J$9</x:f>
        <x:v>1900</x:v>
      </x:c>
      <x:c r="K25" s="201" t="n">
        <x:f>K23*K24*K$9</x:f>
        <x:v>7875</x:v>
      </x:c>
      <x:c r="L25" s="201" t="n">
        <x:f>L23*L24*L$9</x:f>
        <x:v>13533.333333333334</x:v>
      </x:c>
      <x:c r="M25" s="201" t="n">
        <x:f>M23*M24*M$9</x:f>
        <x:v>13437.5</x:v>
      </x:c>
      <x:c r="N25" s="201" t="n">
        <x:f>N23*N24*N$9</x:f>
        <x:v>9737.179487179488</x:v>
      </x:c>
      <x:c r="O25" s="201" t="n">
        <x:f>O23*O24*O$9</x:f>
        <x:v>8500</x:v>
      </x:c>
      <x:c r="P25" s="201" t="n">
        <x:f>SUM(D25:O25)</x:f>
        <x:v>56637.960737179485</x:v>
      </x:c>
    </x:row>
    <x:row r="26">
      <x:c r="B26" s="176"/>
      <x:c r="C26" s="176"/>
      <x:c r="D26" s="177"/>
      <x:c r="E26" s="177"/>
      <x:c r="F26" s="177"/>
      <x:c r="G26" s="177"/>
      <x:c r="H26" s="177"/>
      <x:c r="I26" s="177"/>
      <x:c r="J26" s="177"/>
      <x:c r="K26" s="177"/>
      <x:c r="L26" s="177"/>
      <x:c r="M26" s="177"/>
      <x:c r="N26" s="177"/>
      <x:c r="O26" s="177"/>
      <x:c r="P26" s="177"/>
    </x:row>
    <x:row r="27">
      <x:c r="B27" s="176" t="str">
        <x:v>Staffing and marketing forecast</x:v>
      </x:c>
      <x:c r="C27" s="176" t="str">
        <x:v>Sum of corrected salesperson revenue</x:v>
      </x:c>
      <x:c r="D27" s="201" t="n">
        <x:f>SUM(D13,D16,D19,D22,D25)</x:f>
        <x:v>43572.916666666664</x:v>
      </x:c>
      <x:c r="E27" s="201" t="n">
        <x:f>SUM(E13,E16,E19,E22,E25)</x:f>
        <x:v>50500</x:v>
      </x:c>
      <x:c r="F27" s="201" t="n">
        <x:f>SUM(F13,F16,F19,F22,F25)</x:f>
        <x:v>27326.923076923078</x:v>
      </x:c>
      <x:c r="G27" s="201" t="n">
        <x:f>SUM(G13,G16,G19,G22,G25)</x:f>
        <x:v>40615.38461538462</x:v>
      </x:c>
      <x:c r="H27" s="201" t="n">
        <x:f>SUM(H13,H16,H19,H22,H25)</x:f>
        <x:v>29925</x:v>
      </x:c>
      <x:c r="I27" s="201" t="n">
        <x:f>SUM(I13,I16,I19,I22,I25)</x:f>
        <x:v>21514.322916666668</x:v>
      </x:c>
      <x:c r="J27" s="201" t="n">
        <x:f>SUM(J13,J16,J19,J22,J25)</x:f>
        <x:v>13300</x:v>
      </x:c>
      <x:c r="K27" s="201" t="n">
        <x:f>SUM(K13,K16,K19,K22,K25)</x:f>
        <x:v>31500</x:v>
      </x:c>
      <x:c r="L27" s="201" t="n">
        <x:f>SUM(L13,L16,L19,L22,L25)</x:f>
        <x:v>54133.333333333336</x:v>
      </x:c>
      <x:c r="M27" s="201" t="n">
        <x:f>SUM(M13,M16,M19,M22,M25)</x:f>
        <x:v>53750</x:v>
      </x:c>
      <x:c r="N27" s="201" t="n">
        <x:f>SUM(N13,N16,N19,N22,N25)</x:f>
        <x:v>38948.71794871795</x:v>
      </x:c>
      <x:c r="O27" s="201" t="n">
        <x:f>SUM(O13,O16,O19,O22,O25)</x:f>
        <x:v>34000</x:v>
      </x:c>
      <x:c r="P27" s="201" t="n">
        <x:f>SUM(D27:O27)</x:f>
        <x:v>439086.59855769225</x:v>
      </x:c>
    </x:row>
    <x:row r="28">
      <x:c r="B28" s="176" t="str">
        <x:v>Registered-program revenue</x:v>
      </x:c>
      <x:c r="C28" s="176" t="str">
        <x:v>06 Draft Program Plan revenue by delivery month</x:v>
      </x:c>
      <x:c r="D28" s="200" t="n">
        <x:f>SUMIF('06 Draft Program Plan'!$C$7:$C$32,D$6,'06 Draft Program Plan'!$J$7:$J$32)</x:f>
        <x:v>8600</x:v>
      </x:c>
      <x:c r="E28" s="200" t="n">
        <x:f>SUMIF('06 Draft Program Plan'!$C$7:$C$32,E$6,'06 Draft Program Plan'!$J$7:$J$32)</x:f>
        <x:v>12700</x:v>
      </x:c>
      <x:c r="F28" s="200" t="n">
        <x:f>SUMIF('06 Draft Program Plan'!$C$7:$C$32,F$6,'06 Draft Program Plan'!$J$7:$J$32)</x:f>
        <x:v>15000</x:v>
      </x:c>
      <x:c r="G28" s="200" t="n">
        <x:f>SUMIF('06 Draft Program Plan'!$C$7:$C$32,G$6,'06 Draft Program Plan'!$J$7:$J$32)</x:f>
        <x:v>12050</x:v>
      </x:c>
      <x:c r="H28" s="200" t="n">
        <x:f>SUMIF('06 Draft Program Plan'!$C$7:$C$32,H$6,'06 Draft Program Plan'!$J$7:$J$32)</x:f>
        <x:v>13300</x:v>
      </x:c>
      <x:c r="I28" s="200" t="n">
        <x:f>SUMIF('06 Draft Program Plan'!$C$7:$C$32,I$6,'06 Draft Program Plan'!$J$7:$J$32)</x:f>
        <x:v>16500</x:v>
      </x:c>
      <x:c r="J28" s="200" t="n">
        <x:f>SUMIF('06 Draft Program Plan'!$C$7:$C$32,J$6,'06 Draft Program Plan'!$J$7:$J$32)</x:f>
        <x:v>2500</x:v>
      </x:c>
      <x:c r="K28" s="200" t="n">
        <x:f>SUMIF('06 Draft Program Plan'!$C$7:$C$32,K$6,'06 Draft Program Plan'!$J$7:$J$32)</x:f>
        <x:v>9000</x:v>
      </x:c>
      <x:c r="L28" s="200" t="n">
        <x:f>SUMIF('06 Draft Program Plan'!$C$7:$C$32,L$6,'06 Draft Program Plan'!$J$7:$J$32)</x:f>
        <x:v>32400</x:v>
      </x:c>
      <x:c r="M28" s="200" t="n">
        <x:f>SUMIF('06 Draft Program Plan'!$C$7:$C$32,M$6,'06 Draft Program Plan'!$J$7:$J$32)</x:f>
        <x:v>19450</x:v>
      </x:c>
      <x:c r="N28" s="200" t="n">
        <x:f>SUMIF('06 Draft Program Plan'!$C$7:$C$32,N$6,'06 Draft Program Plan'!$J$7:$J$32)</x:f>
        <x:v>21800</x:v>
      </x:c>
      <x:c r="O28" s="200" t="n">
        <x:f>SUMIF('06 Draft Program Plan'!$C$7:$C$32,O$6,'06 Draft Program Plan'!$J$7:$J$32)</x:f>
        <x:v>7500</x:v>
      </x:c>
      <x:c r="P28" s="200" t="n">
        <x:f>SUM(D28:O28)</x:f>
        <x:v>170800</x:v>
      </x:c>
    </x:row>
    <x:row r="29">
      <x:c r="B29" s="197" t="str">
        <x:v>Corrected revenue</x:v>
      </x:c>
      <x:c r="C29" s="197" t="str">
        <x:v>Higher of the evidence-based forecast and registered-program revenue</x:v>
      </x:c>
      <x:c r="D29" s="202" t="n">
        <x:f>MAX(D27,D28)</x:f>
        <x:v>43572.916666666664</x:v>
      </x:c>
      <x:c r="E29" s="202" t="n">
        <x:f>MAX(E27,E28)</x:f>
        <x:v>50500</x:v>
      </x:c>
      <x:c r="F29" s="202" t="n">
        <x:f>MAX(F27,F28)</x:f>
        <x:v>27326.923076923078</x:v>
      </x:c>
      <x:c r="G29" s="202" t="n">
        <x:f>MAX(G27,G28)</x:f>
        <x:v>40615.38461538462</x:v>
      </x:c>
      <x:c r="H29" s="202" t="n">
        <x:f>MAX(H27,H28)</x:f>
        <x:v>29925</x:v>
      </x:c>
      <x:c r="I29" s="202" t="n">
        <x:f>MAX(I27,I28)</x:f>
        <x:v>21514.322916666668</x:v>
      </x:c>
      <x:c r="J29" s="202" t="n">
        <x:f>MAX(J27,J28)</x:f>
        <x:v>13300</x:v>
      </x:c>
      <x:c r="K29" s="202" t="n">
        <x:f>MAX(K27,K28)</x:f>
        <x:v>31500</x:v>
      </x:c>
      <x:c r="L29" s="202" t="n">
        <x:f>MAX(L27,L28)</x:f>
        <x:v>54133.333333333336</x:v>
      </x:c>
      <x:c r="M29" s="202" t="n">
        <x:f>MAX(M27,M28)</x:f>
        <x:v>53750</x:v>
      </x:c>
      <x:c r="N29" s="202" t="n">
        <x:f>MAX(N27,N28)</x:f>
        <x:v>38948.71794871795</x:v>
      </x:c>
      <x:c r="O29" s="202" t="n">
        <x:f>MAX(O27,O28)</x:f>
        <x:v>34000</x:v>
      </x:c>
      <x:c r="P29" s="202" t="n">
        <x:f>SUM(D29:O29)</x:f>
        <x:v>439086.59855769225</x:v>
      </x:c>
    </x:row>
    <x:row r="30">
      <x:c r="B30" s="176"/>
      <x:c r="C30" s="176"/>
      <x:c r="D30" s="177"/>
      <x:c r="E30" s="177"/>
      <x:c r="F30" s="177"/>
      <x:c r="G30" s="177"/>
      <x:c r="H30" s="177"/>
      <x:c r="I30" s="177"/>
      <x:c r="J30" s="177"/>
      <x:c r="K30" s="177"/>
      <x:c r="L30" s="177"/>
      <x:c r="M30" s="177"/>
      <x:c r="N30" s="177"/>
      <x:c r="O30" s="177"/>
      <x:c r="P30" s="177"/>
    </x:row>
    <x:row r="31">
      <x:c r="B31" s="176" t="str">
        <x:v>Forecast open-seat revenue</x:v>
      </x:c>
      <x:c r="C31" s="176" t="str">
        <x:v>Product-level historical run rate with the same staffing and marketing factors</x:v>
      </x:c>
      <x:c r="D31" s="201" t="n">
        <x:f>D$9*('02 Prior Year Sales'!D9*D12+'02 Prior Year Sales'!D12*D15+'02 Prior Year Sales'!D15*D18+'02 Prior Year Sales'!D18*D21+AVERAGE('02 Prior Year Sales'!D12,'02 Prior Year Sales'!D15,'02 Prior Year Sales'!D18)*D24)</x:f>
        <x:v>7343.75</x:v>
      </x:c>
      <x:c r="E31" s="201" t="n">
        <x:f>E$9*('02 Prior Year Sales'!E9*E12+'02 Prior Year Sales'!E12*E15+'02 Prior Year Sales'!E15*E18+'02 Prior Year Sales'!E18*E21+AVERAGE('02 Prior Year Sales'!E12,'02 Prior Year Sales'!E15,'02 Prior Year Sales'!E18)*E24)</x:f>
        <x:v>10500</x:v>
      </x:c>
      <x:c r="F31" s="201" t="n">
        <x:f>F$9*('02 Prior Year Sales'!F9*F12+'02 Prior Year Sales'!F12*F15+'02 Prior Year Sales'!F15*F18+'02 Prior Year Sales'!F18*F21+AVERAGE('02 Prior Year Sales'!F12,'02 Prior Year Sales'!F15,'02 Prior Year Sales'!F18)*F24)</x:f>
        <x:v>6125</x:v>
      </x:c>
      <x:c r="G31" s="201" t="n">
        <x:f>G$9*('02 Prior Year Sales'!G9*G12+'02 Prior Year Sales'!G12*G15+'02 Prior Year Sales'!G15*G18+'02 Prior Year Sales'!G18*G21+AVERAGE('02 Prior Year Sales'!G12,'02 Prior Year Sales'!G15,'02 Prior Year Sales'!G18)*G24)</x:f>
        <x:v>10615.384615384615</x:v>
      </x:c>
      <x:c r="H31" s="201" t="n">
        <x:f>H$9*('02 Prior Year Sales'!H9*H12+'02 Prior Year Sales'!H12*H15+'02 Prior Year Sales'!H15*H18+'02 Prior Year Sales'!H18*H21+AVERAGE('02 Prior Year Sales'!H12,'02 Prior Year Sales'!H15,'02 Prior Year Sales'!H18)*H24)</x:f>
        <x:v>8550</x:v>
      </x:c>
      <x:c r="I31" s="201" t="n">
        <x:f>I$9*('02 Prior Year Sales'!I9*I12+'02 Prior Year Sales'!I12*I15+'02 Prior Year Sales'!I15*I18+'02 Prior Year Sales'!I18*I21+AVERAGE('02 Prior Year Sales'!I12,'02 Prior Year Sales'!I15,'02 Prior Year Sales'!I18)*I24)</x:f>
        <x:v>5772.135416666666</x:v>
      </x:c>
      <x:c r="J31" s="201" t="n">
        <x:f>J$9*('02 Prior Year Sales'!J9*J12+'02 Prior Year Sales'!J12*J15+'02 Prior Year Sales'!J15*J18+'02 Prior Year Sales'!J18*J21+AVERAGE('02 Prior Year Sales'!J12,'02 Prior Year Sales'!J15,'02 Prior Year Sales'!J18)*J24)</x:f>
        <x:v>2216.6666666666665</x:v>
      </x:c>
      <x:c r="K31" s="201" t="n">
        <x:f>K$9*('02 Prior Year Sales'!K9*K12+'02 Prior Year Sales'!K12*K15+'02 Prior Year Sales'!K15*K18+'02 Prior Year Sales'!K18*K21+AVERAGE('02 Prior Year Sales'!K12,'02 Prior Year Sales'!K15,'02 Prior Year Sales'!K18)*K24)</x:f>
        <x:v>5785.714285714286</x:v>
      </x:c>
      <x:c r="L31" s="201" t="n">
        <x:f>L$9*('02 Prior Year Sales'!L9*L12+'02 Prior Year Sales'!L12*L15+'02 Prior Year Sales'!L15*L18+'02 Prior Year Sales'!L18*L21+AVERAGE('02 Prior Year Sales'!L12,'02 Prior Year Sales'!L15,'02 Prior Year Sales'!L18)*L24)</x:f>
        <x:v>13688.888888888889</x:v>
      </x:c>
      <x:c r="M31" s="201" t="n">
        <x:f>M$9*('02 Prior Year Sales'!M9*M12+'02 Prior Year Sales'!M12*M15+'02 Prior Year Sales'!M15*M18+'02 Prior Year Sales'!M18*M21+AVERAGE('02 Prior Year Sales'!M12,'02 Prior Year Sales'!M15,'02 Prior Year Sales'!M18)*M24)</x:f>
        <x:v>16249.999999999998</x:v>
      </x:c>
      <x:c r="N31" s="201" t="n">
        <x:f>N$9*('02 Prior Year Sales'!N9*N12+'02 Prior Year Sales'!N12*N15+'02 Prior Year Sales'!N15*N18+'02 Prior Year Sales'!N18*N21+AVERAGE('02 Prior Year Sales'!N12,'02 Prior Year Sales'!N15,'02 Prior Year Sales'!N18)*N24)</x:f>
        <x:v>10679.48717948718</x:v>
      </x:c>
      <x:c r="O31" s="201" t="n">
        <x:f>O$9*('02 Prior Year Sales'!O9*O12+'02 Prior Year Sales'!O12*O15+'02 Prior Year Sales'!O15*O18+'02 Prior Year Sales'!O18*O21+AVERAGE('02 Prior Year Sales'!O12,'02 Prior Year Sales'!O15,'02 Prior Year Sales'!O18)*O24)</x:f>
        <x:v>8814.814814814816</x:v>
      </x:c>
      <x:c r="P31" s="201" t="n">
        <x:f>SUM(D31:O31)</x:f>
        <x:v>106341.84186762311</x:v>
      </x:c>
    </x:row>
    <x:row r="32">
      <x:c r="B32" s="176" t="str">
        <x:v>Historical revenue per open seat</x:v>
      </x:c>
      <x:c r="C32" s="176" t="str">
        <x:v>2025 open-seat revenue divided by 2025 seats sold</x:v>
      </x:c>
      <x:c r="D32" s="201" t="n">
        <x:f>('02 Prior Year Sales'!$P$9+'02 Prior Year Sales'!$P$12+'02 Prior Year Sales'!$P$15+'02 Prior Year Sales'!$P$18)/'03 Prior Year Marketing'!$P$12</x:f>
        <x:v>563.1313131313132</x:v>
      </x:c>
      <x:c r="E32" s="201" t="n">
        <x:f>('02 Prior Year Sales'!$P$9+'02 Prior Year Sales'!$P$12+'02 Prior Year Sales'!$P$15+'02 Prior Year Sales'!$P$18)/'03 Prior Year Marketing'!$P$12</x:f>
        <x:v>563.1313131313132</x:v>
      </x:c>
      <x:c r="F32" s="201" t="n">
        <x:f>('02 Prior Year Sales'!$P$9+'02 Prior Year Sales'!$P$12+'02 Prior Year Sales'!$P$15+'02 Prior Year Sales'!$P$18)/'03 Prior Year Marketing'!$P$12</x:f>
        <x:v>563.1313131313132</x:v>
      </x:c>
      <x:c r="G32" s="201" t="n">
        <x:f>('02 Prior Year Sales'!$P$9+'02 Prior Year Sales'!$P$12+'02 Prior Year Sales'!$P$15+'02 Prior Year Sales'!$P$18)/'03 Prior Year Marketing'!$P$12</x:f>
        <x:v>563.1313131313132</x:v>
      </x:c>
      <x:c r="H32" s="201" t="n">
        <x:f>('02 Prior Year Sales'!$P$9+'02 Prior Year Sales'!$P$12+'02 Prior Year Sales'!$P$15+'02 Prior Year Sales'!$P$18)/'03 Prior Year Marketing'!$P$12</x:f>
        <x:v>563.1313131313132</x:v>
      </x:c>
      <x:c r="I32" s="201" t="n">
        <x:f>('02 Prior Year Sales'!$P$9+'02 Prior Year Sales'!$P$12+'02 Prior Year Sales'!$P$15+'02 Prior Year Sales'!$P$18)/'03 Prior Year Marketing'!$P$12</x:f>
        <x:v>563.1313131313132</x:v>
      </x:c>
      <x:c r="J32" s="201" t="n">
        <x:f>('02 Prior Year Sales'!$P$9+'02 Prior Year Sales'!$P$12+'02 Prior Year Sales'!$P$15+'02 Prior Year Sales'!$P$18)/'03 Prior Year Marketing'!$P$12</x:f>
        <x:v>563.1313131313132</x:v>
      </x:c>
      <x:c r="K32" s="201" t="n">
        <x:f>('02 Prior Year Sales'!$P$9+'02 Prior Year Sales'!$P$12+'02 Prior Year Sales'!$P$15+'02 Prior Year Sales'!$P$18)/'03 Prior Year Marketing'!$P$12</x:f>
        <x:v>563.1313131313132</x:v>
      </x:c>
      <x:c r="L32" s="201" t="n">
        <x:f>('02 Prior Year Sales'!$P$9+'02 Prior Year Sales'!$P$12+'02 Prior Year Sales'!$P$15+'02 Prior Year Sales'!$P$18)/'03 Prior Year Marketing'!$P$12</x:f>
        <x:v>563.1313131313132</x:v>
      </x:c>
      <x:c r="M32" s="201" t="n">
        <x:f>('02 Prior Year Sales'!$P$9+'02 Prior Year Sales'!$P$12+'02 Prior Year Sales'!$P$15+'02 Prior Year Sales'!$P$18)/'03 Prior Year Marketing'!$P$12</x:f>
        <x:v>563.1313131313132</x:v>
      </x:c>
      <x:c r="N32" s="201" t="n">
        <x:f>('02 Prior Year Sales'!$P$9+'02 Prior Year Sales'!$P$12+'02 Prior Year Sales'!$P$15+'02 Prior Year Sales'!$P$18)/'03 Prior Year Marketing'!$P$12</x:f>
        <x:v>563.1313131313132</x:v>
      </x:c>
      <x:c r="O32" s="201" t="n">
        <x:f>('02 Prior Year Sales'!$P$9+'02 Prior Year Sales'!$P$12+'02 Prior Year Sales'!$P$15+'02 Prior Year Sales'!$P$18)/'03 Prior Year Marketing'!$P$12</x:f>
        <x:v>563.1313131313132</x:v>
      </x:c>
      <x:c r="P32" s="201" t="n">
        <x:f>AVERAGE(D32:O32)</x:f>
        <x:v>563.131313131313</x:v>
      </x:c>
    </x:row>
    <x:row r="33">
      <x:c r="B33" s="176" t="str">
        <x:v>Open seats sold</x:v>
      </x:c>
      <x:c r="C33" s="176" t="str">
        <x:v>Forecast open-seat revenue divided by historical revenue per seat</x:v>
      </x:c>
      <x:c r="D33" s="208" t="n">
        <x:f>ROUND(D31/D32,0)</x:f>
        <x:v>13</x:v>
      </x:c>
      <x:c r="E33" s="208" t="n">
        <x:f>ROUND(E31/E32,0)</x:f>
        <x:v>19</x:v>
      </x:c>
      <x:c r="F33" s="208" t="n">
        <x:f>ROUND(F31/F32,0)</x:f>
        <x:v>11</x:v>
      </x:c>
      <x:c r="G33" s="208" t="n">
        <x:f>ROUND(G31/G32,0)</x:f>
        <x:v>19</x:v>
      </x:c>
      <x:c r="H33" s="208" t="n">
        <x:f>ROUND(H31/H32,0)</x:f>
        <x:v>15</x:v>
      </x:c>
      <x:c r="I33" s="208" t="n">
        <x:f>ROUND(I31/I32,0)</x:f>
        <x:v>10</x:v>
      </x:c>
      <x:c r="J33" s="208" t="n">
        <x:f>ROUND(J31/J32,0)</x:f>
        <x:v>4</x:v>
      </x:c>
      <x:c r="K33" s="208" t="n">
        <x:f>ROUND(K31/K32,0)</x:f>
        <x:v>10</x:v>
      </x:c>
      <x:c r="L33" s="208" t="n">
        <x:f>ROUND(L31/L32,0)</x:f>
        <x:v>24</x:v>
      </x:c>
      <x:c r="M33" s="208" t="n">
        <x:f>ROUND(M31/M32,0)</x:f>
        <x:v>29</x:v>
      </x:c>
      <x:c r="N33" s="208" t="n">
        <x:f>ROUND(N31/N32,0)</x:f>
        <x:v>19</x:v>
      </x:c>
      <x:c r="O33" s="208" t="n">
        <x:f>ROUND(O31/O32,0)</x:f>
        <x:v>16</x:v>
      </x:c>
      <x:c r="P33" s="208" t="n">
        <x:f>SUM(D33:O33)</x:f>
        <x:v>189</x:v>
      </x:c>
    </x:row>
    <x:row r="34">
      <x:c r="B34" s="176" t="str">
        <x:v>Historical trainer days per euro</x:v>
      </x:c>
      <x:c r="C34" s="176" t="str">
        <x:v>2025 trainer days divided by 2025 revenue</x:v>
      </x:c>
      <x:c r="D34" s="209" t="n">
        <x:f>'04 Prior Year Programs'!$P$10/'01 Prior Year P&amp;L'!$P$7</x:f>
        <x:v>0.0002043519394512772</x:v>
      </x:c>
      <x:c r="E34" s="209" t="n">
        <x:f>'04 Prior Year Programs'!$P$10/'01 Prior Year P&amp;L'!$P$7</x:f>
        <x:v>0.0002043519394512772</x:v>
      </x:c>
      <x:c r="F34" s="209" t="n">
        <x:f>'04 Prior Year Programs'!$P$10/'01 Prior Year P&amp;L'!$P$7</x:f>
        <x:v>0.0002043519394512772</x:v>
      </x:c>
      <x:c r="G34" s="209" t="n">
        <x:f>'04 Prior Year Programs'!$P$10/'01 Prior Year P&amp;L'!$P$7</x:f>
        <x:v>0.0002043519394512772</x:v>
      </x:c>
      <x:c r="H34" s="209" t="n">
        <x:f>'04 Prior Year Programs'!$P$10/'01 Prior Year P&amp;L'!$P$7</x:f>
        <x:v>0.0002043519394512772</x:v>
      </x:c>
      <x:c r="I34" s="209" t="n">
        <x:f>'04 Prior Year Programs'!$P$10/'01 Prior Year P&amp;L'!$P$7</x:f>
        <x:v>0.0002043519394512772</x:v>
      </x:c>
      <x:c r="J34" s="209" t="n">
        <x:f>'04 Prior Year Programs'!$P$10/'01 Prior Year P&amp;L'!$P$7</x:f>
        <x:v>0.0002043519394512772</x:v>
      </x:c>
      <x:c r="K34" s="209" t="n">
        <x:f>'04 Prior Year Programs'!$P$10/'01 Prior Year P&amp;L'!$P$7</x:f>
        <x:v>0.0002043519394512772</x:v>
      </x:c>
      <x:c r="L34" s="209" t="n">
        <x:f>'04 Prior Year Programs'!$P$10/'01 Prior Year P&amp;L'!$P$7</x:f>
        <x:v>0.0002043519394512772</x:v>
      </x:c>
      <x:c r="M34" s="209" t="n">
        <x:f>'04 Prior Year Programs'!$P$10/'01 Prior Year P&amp;L'!$P$7</x:f>
        <x:v>0.0002043519394512772</x:v>
      </x:c>
      <x:c r="N34" s="209" t="n">
        <x:f>'04 Prior Year Programs'!$P$10/'01 Prior Year P&amp;L'!$P$7</x:f>
        <x:v>0.0002043519394512772</x:v>
      </x:c>
      <x:c r="O34" s="209" t="n">
        <x:f>'04 Prior Year Programs'!$P$10/'01 Prior Year P&amp;L'!$P$7</x:f>
        <x:v>0.0002043519394512772</x:v>
      </x:c>
      <x:c r="P34" s="209" t="n">
        <x:f>AVERAGE(D34:O34)</x:f>
        <x:v>0.00020435193945127724</x:v>
      </x:c>
    </x:row>
    <x:row r="35">
      <x:c r="B35" s="176" t="str">
        <x:v>Trainer days required</x:v>
      </x:c>
      <x:c r="C35" s="176" t="str">
        <x:v>Corrected revenue x historical trainer-days-per-euro rate</x:v>
      </x:c>
      <x:c r="D35" s="210" t="n">
        <x:f>D29*D34</x:f>
        <x:v>8.904210028382213</x:v>
      </x:c>
      <x:c r="E35" s="210" t="n">
        <x:f>E29*E34</x:f>
        <x:v>10.319772942289498</x:v>
      </x:c>
      <x:c r="F35" s="210" t="n">
        <x:f>F29*F34</x:f>
        <x:v>5.584309730005095</x:v>
      </x:c>
      <x:c r="G35" s="210" t="n">
        <x:f>G29*G34</x:f>
        <x:v>8.299832617713413</x:v>
      </x:c>
      <x:c r="H35" s="210" t="n">
        <x:f>H29*H34</x:f>
        <x:v>6.115231788079471</x:v>
      </x:c>
      <x:c r="I35" s="210" t="n">
        <x:f>I29*I34</x:f>
        <x:v>4.396493614001892</x:v>
      </x:c>
      <x:c r="J35" s="210" t="n">
        <x:f>J29*J34</x:f>
        <x:v>2.717880794701987</x:v>
      </x:c>
      <x:c r="K35" s="210" t="n">
        <x:f>K29*K34</x:f>
        <x:v>6.437086092715232</x:v>
      </x:c>
      <x:c r="L35" s="210" t="n">
        <x:f>L29*L34</x:f>
        <x:v>11.06225165562914</x:v>
      </x:c>
      <x:c r="M35" s="210" t="n">
        <x:f>M29*M34</x:f>
        <x:v>10.98391674550615</x:v>
      </x:c>
      <x:c r="N35" s="210" t="n">
        <x:f>N29*N34</x:f>
        <x:v>7.959246051961285</x:v>
      </x:c>
      <x:c r="O35" s="210" t="n">
        <x:f>O29*O34</x:f>
        <x:v>6.947965941343425</x:v>
      </x:c>
      <x:c r="P35" s="210" t="n">
        <x:f>SUM(D35:O35)</x:f>
        <x:v>89.72819800232881</x:v>
      </x:c>
    </x:row>
    <x:row r="36">
      <x:c r="B36" s="176"/>
      <x:c r="C36" s="176"/>
      <x:c r="D36" s="177"/>
      <x:c r="E36" s="177"/>
      <x:c r="F36" s="177"/>
      <x:c r="G36" s="177"/>
      <x:c r="H36" s="177"/>
      <x:c r="I36" s="177"/>
      <x:c r="J36" s="177"/>
      <x:c r="K36" s="177"/>
      <x:c r="L36" s="177"/>
      <x:c r="M36" s="177"/>
      <x:c r="N36" s="177"/>
      <x:c r="O36" s="177"/>
      <x:c r="P36" s="177"/>
    </x:row>
    <x:row r="37">
      <x:c r="B37" s="189" t="str">
        <x:v>Direct program costs and operating expenses</x:v>
      </x:c>
      <x:c r="C37" s="190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91"/>
      <x:c r="P37" s="192"/>
    </x:row>
    <x:row r="38">
      <x:c r="B38" s="176" t="str">
        <x:v>2025 direct-cost rate</x:v>
      </x:c>
      <x:c r="C38" s="176" t="str">
        <x:v>2025 direct delivery cost divided by revenue, by month</x:v>
      </x:c>
      <x:c r="D38" s="206" t="n">
        <x:f>-'01 Prior Year P&amp;L'!D8/'01 Prior Year P&amp;L'!D7</x:f>
        <x:v>0.4</x:v>
      </x:c>
      <x:c r="E38" s="206" t="n">
        <x:f>-'01 Prior Year P&amp;L'!E8/'01 Prior Year P&amp;L'!E7</x:f>
        <x:v>0.41</x:v>
      </x:c>
      <x:c r="F38" s="206" t="n">
        <x:f>-'01 Prior Year P&amp;L'!F8/'01 Prior Year P&amp;L'!F7</x:f>
        <x:v>0.39</x:v>
      </x:c>
      <x:c r="G38" s="206" t="n">
        <x:f>-'01 Prior Year P&amp;L'!G8/'01 Prior Year P&amp;L'!G7</x:f>
        <x:v>0.42</x:v>
      </x:c>
      <x:c r="H38" s="206" t="n">
        <x:f>-'01 Prior Year P&amp;L'!H8/'01 Prior Year P&amp;L'!H7</x:f>
        <x:v>0.41</x:v>
      </x:c>
      <x:c r="I38" s="206" t="n">
        <x:f>-'01 Prior Year P&amp;L'!I8/'01 Prior Year P&amp;L'!I7</x:f>
        <x:v>0.4</x:v>
      </x:c>
      <x:c r="J38" s="206" t="n">
        <x:f>-'01 Prior Year P&amp;L'!J8/'01 Prior Year P&amp;L'!J7</x:f>
        <x:v>0.43</x:v>
      </x:c>
      <x:c r="K38" s="206" t="n">
        <x:f>-'01 Prior Year P&amp;L'!K8/'01 Prior Year P&amp;L'!K7</x:f>
        <x:v>0.42</x:v>
      </x:c>
      <x:c r="L38" s="206" t="n">
        <x:f>-'01 Prior Year P&amp;L'!L8/'01 Prior Year P&amp;L'!L7</x:f>
        <x:v>0.39</x:v>
      </x:c>
      <x:c r="M38" s="206" t="n">
        <x:f>-'01 Prior Year P&amp;L'!M8/'01 Prior Year P&amp;L'!M7</x:f>
        <x:v>0.4</x:v>
      </x:c>
      <x:c r="N38" s="206" t="n">
        <x:f>-'01 Prior Year P&amp;L'!N8/'01 Prior Year P&amp;L'!N7</x:f>
        <x:v>0.41</x:v>
      </x:c>
      <x:c r="O38" s="206" t="n">
        <x:f>-'01 Prior Year P&amp;L'!O8/'01 Prior Year P&amp;L'!O7</x:f>
        <x:v>0.4</x:v>
      </x:c>
      <x:c r="P38" s="206" t="n">
        <x:f>-'01 Prior Year P&amp;L'!P8/'01 Prior Year P&amp;L'!P7</x:f>
        <x:v>0.4050236518448439</x:v>
      </x:c>
    </x:row>
    <x:row r="39">
      <x:c r="B39" s="176" t="str">
        <x:v>Instructor and assistant cost share</x:v>
      </x:c>
      <x:c r="C39" s="176" t="str">
        <x:v>Registered instructor and assistant cost divided by registered direct cost</x:v>
      </x:c>
      <x:c r="D39" s="206" t="n">
        <x:f>('06 Draft Program Plan'!$K$34+'06 Draft Program Plan'!$M$34)/'06 Draft Program Plan'!$R$34</x:f>
        <x:v>0.43299436492000776</x:v>
      </x:c>
      <x:c r="E39" s="206" t="n">
        <x:f>('06 Draft Program Plan'!$K$34+'06 Draft Program Plan'!$M$34)/'06 Draft Program Plan'!$R$34</x:f>
        <x:v>0.43299436492000776</x:v>
      </x:c>
      <x:c r="F39" s="206" t="n">
        <x:f>('06 Draft Program Plan'!$K$34+'06 Draft Program Plan'!$M$34)/'06 Draft Program Plan'!$R$34</x:f>
        <x:v>0.43299436492000776</x:v>
      </x:c>
      <x:c r="G39" s="206" t="n">
        <x:f>('06 Draft Program Plan'!$K$34+'06 Draft Program Plan'!$M$34)/'06 Draft Program Plan'!$R$34</x:f>
        <x:v>0.43299436492000776</x:v>
      </x:c>
      <x:c r="H39" s="206" t="n">
        <x:f>('06 Draft Program Plan'!$K$34+'06 Draft Program Plan'!$M$34)/'06 Draft Program Plan'!$R$34</x:f>
        <x:v>0.43299436492000776</x:v>
      </x:c>
      <x:c r="I39" s="206" t="n">
        <x:f>('06 Draft Program Plan'!$K$34+'06 Draft Program Plan'!$M$34)/'06 Draft Program Plan'!$R$34</x:f>
        <x:v>0.43299436492000776</x:v>
      </x:c>
      <x:c r="J39" s="206" t="n">
        <x:f>('06 Draft Program Plan'!$K$34+'06 Draft Program Plan'!$M$34)/'06 Draft Program Plan'!$R$34</x:f>
        <x:v>0.43299436492000776</x:v>
      </x:c>
      <x:c r="K39" s="206" t="n">
        <x:f>('06 Draft Program Plan'!$K$34+'06 Draft Program Plan'!$M$34)/'06 Draft Program Plan'!$R$34</x:f>
        <x:v>0.43299436492000776</x:v>
      </x:c>
      <x:c r="L39" s="206" t="n">
        <x:f>('06 Draft Program Plan'!$K$34+'06 Draft Program Plan'!$M$34)/'06 Draft Program Plan'!$R$34</x:f>
        <x:v>0.43299436492000776</x:v>
      </x:c>
      <x:c r="M39" s="206" t="n">
        <x:f>('06 Draft Program Plan'!$K$34+'06 Draft Program Plan'!$M$34)/'06 Draft Program Plan'!$R$34</x:f>
        <x:v>0.43299436492000776</x:v>
      </x:c>
      <x:c r="N39" s="206" t="n">
        <x:f>('06 Draft Program Plan'!$K$34+'06 Draft Program Plan'!$M$34)/'06 Draft Program Plan'!$R$34</x:f>
        <x:v>0.43299436492000776</x:v>
      </x:c>
      <x:c r="O39" s="206" t="n">
        <x:f>('06 Draft Program Plan'!$K$34+'06 Draft Program Plan'!$M$34)/'06 Draft Program Plan'!$R$34</x:f>
        <x:v>0.43299436492000776</x:v>
      </x:c>
      <x:c r="P39" s="206" t="n">
        <x:f>AVERAGE(D39:O39)</x:f>
        <x:v>0.4329943649200078</x:v>
      </x:c>
    </x:row>
    <x:row r="40">
      <x:c r="B40" s="176" t="str">
        <x:v>Supplier rate factor</x:v>
      </x:c>
      <x:c r="C40" s="176" t="str">
        <x:v>10% supplier increase from Jul applied to the instructor and assistant share</x:v>
      </x:c>
      <x:c r="D40" s="204" t="n">
        <x:f>1</x:f>
        <x:v>1</x:v>
      </x:c>
      <x:c r="E40" s="204" t="n">
        <x:f>1</x:f>
        <x:v>1</x:v>
      </x:c>
      <x:c r="F40" s="204" t="n">
        <x:f>1</x:f>
        <x:v>1</x:v>
      </x:c>
      <x:c r="G40" s="204" t="n">
        <x:f>1</x:f>
        <x:v>1</x:v>
      </x:c>
      <x:c r="H40" s="204" t="n">
        <x:f>1</x:f>
        <x:v>1</x:v>
      </x:c>
      <x:c r="I40" s="204" t="n">
        <x:f>1</x:f>
        <x:v>1</x:v>
      </x:c>
      <x:c r="J40" s="204" t="n">
        <x:f>1+10%*J39</x:f>
        <x:v>1.0432994364920007</x:v>
      </x:c>
      <x:c r="K40" s="204" t="n">
        <x:f>1+10%*K39</x:f>
        <x:v>1.0432994364920007</x:v>
      </x:c>
      <x:c r="L40" s="204" t="n">
        <x:f>1+10%*L39</x:f>
        <x:v>1.0432994364920007</x:v>
      </x:c>
      <x:c r="M40" s="204" t="n">
        <x:f>1+10%*M39</x:f>
        <x:v>1.0432994364920007</x:v>
      </x:c>
      <x:c r="N40" s="204" t="n">
        <x:f>1+10%*N39</x:f>
        <x:v>1.0432994364920007</x:v>
      </x:c>
      <x:c r="O40" s="204" t="n">
        <x:f>1+10%*O39</x:f>
        <x:v>1.0432994364920007</x:v>
      </x:c>
      <x:c r="P40" s="204" t="n">
        <x:f>AVERAGE(D40:O40)</x:f>
        <x:v>1.0216497182460005</x:v>
      </x:c>
    </x:row>
    <x:row r="41">
      <x:c r="B41" s="197" t="str">
        <x:v>Corrected direct program costs</x:v>
      </x:c>
      <x:c r="C41" s="197" t="str">
        <x:v>All corrected revenue is costed; displayed as a negative amount</x:v>
      </x:c>
      <x:c r="D41" s="202" t="n">
        <x:f>-D29*D38*D40</x:f>
        <x:v>-17429.166666666668</x:v>
      </x:c>
      <x:c r="E41" s="202" t="n">
        <x:f>-E29*E38*E40</x:f>
        <x:v>-20705</x:v>
      </x:c>
      <x:c r="F41" s="202" t="n">
        <x:f>-F29*F38*F40</x:f>
        <x:v>-10657.5</x:v>
      </x:c>
      <x:c r="G41" s="202" t="n">
        <x:f>-G29*G38*G40</x:f>
        <x:v>-17058.46153846154</x:v>
      </x:c>
      <x:c r="H41" s="202" t="n">
        <x:f>-H29*H38*H40</x:f>
        <x:v>-12269.25</x:v>
      </x:c>
      <x:c r="I41" s="202" t="n">
        <x:f>-I29*I38*I40</x:f>
        <x:v>-8605.729166666668</x:v>
      </x:c>
      <x:c r="J41" s="202" t="n">
        <x:f>-J29*J38*J40</x:f>
        <x:v>-5966.629477297753</x:v>
      </x:c>
      <x:c r="K41" s="202" t="n">
        <x:f>-K29*K38*K40</x:f>
        <x:v>-13802.85154478917</x:v>
      </x:c>
      <x:c r="L41" s="202" t="n">
        <x:f>-L29*L38*L40</x:f>
        <x:v>-22026.13770321912</x:v>
      </x:c>
      <x:c r="M41" s="202" t="n">
        <x:f>-M29*M38*M40</x:f>
        <x:v>-22430.937884578016</x:v>
      </x:c>
      <x:c r="N41" s="202" t="n">
        <x:f>-N29*N38*N40</x:f>
        <x:v>-16660.42195007316</x:v>
      </x:c>
      <x:c r="O41" s="202" t="n">
        <x:f>-O29*O38*O40</x:f>
        <x:v>-14188.87233629121</x:v>
      </x:c>
      <x:c r="P41" s="202" t="n">
        <x:f>SUM(D41:O41)</x:f>
        <x:v>-181800.95826804332</x:v>
      </x:c>
    </x:row>
    <x:row r="42">
      <x:c r="B42" s="176"/>
      <x:c r="C42" s="176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  <x:c r="O42" s="177"/>
      <x:c r="P42" s="177"/>
    </x:row>
    <x:row r="43">
      <x:c r="B43" s="176" t="str">
        <x:v>Sales salaries</x:v>
      </x:c>
      <x:c r="C43" s="176" t="str">
        <x:v>HR schedule: 4 staff Jan-Feb, 3 Mar-Apr, 4 May-Dec</x:v>
      </x:c>
      <x:c r="D43" s="203" t="n">
        <x:v>7200</x:v>
      </x:c>
      <x:c r="E43" s="203" t="n">
        <x:v>7200</x:v>
      </x:c>
      <x:c r="F43" s="203" t="n">
        <x:v>5400</x:v>
      </x:c>
      <x:c r="G43" s="203" t="n">
        <x:v>5400</x:v>
      </x:c>
      <x:c r="H43" s="203" t="n">
        <x:v>7200</x:v>
      </x:c>
      <x:c r="I43" s="203" t="n">
        <x:v>7200</x:v>
      </x:c>
      <x:c r="J43" s="203" t="n">
        <x:v>7200</x:v>
      </x:c>
      <x:c r="K43" s="203" t="n">
        <x:v>7200</x:v>
      </x:c>
      <x:c r="L43" s="203" t="n">
        <x:v>7200</x:v>
      </x:c>
      <x:c r="M43" s="203" t="n">
        <x:v>7200</x:v>
      </x:c>
      <x:c r="N43" s="203" t="n">
        <x:v>7200</x:v>
      </x:c>
      <x:c r="O43" s="203" t="n">
        <x:v>7200</x:v>
      </x:c>
      <x:c r="P43" s="201" t="n">
        <x:f>SUM(D43:O43)</x:f>
        <x:v>82800</x:v>
      </x:c>
    </x:row>
    <x:row r="44">
      <x:c r="B44" s="176" t="str">
        <x:v>Delivery coordination salaries</x:v>
      </x:c>
      <x:c r="C44" s="176" t="str">
        <x:v>€2,500 per month</x:v>
      </x:c>
      <x:c r="D44" s="203" t="n">
        <x:v>2500</x:v>
      </x:c>
      <x:c r="E44" s="203" t="n">
        <x:v>2500</x:v>
      </x:c>
      <x:c r="F44" s="203" t="n">
        <x:v>2500</x:v>
      </x:c>
      <x:c r="G44" s="203" t="n">
        <x:v>2500</x:v>
      </x:c>
      <x:c r="H44" s="203" t="n">
        <x:v>2500</x:v>
      </x:c>
      <x:c r="I44" s="203" t="n">
        <x:v>2500</x:v>
      </x:c>
      <x:c r="J44" s="203" t="n">
        <x:v>2500</x:v>
      </x:c>
      <x:c r="K44" s="203" t="n">
        <x:v>2500</x:v>
      </x:c>
      <x:c r="L44" s="203" t="n">
        <x:v>2500</x:v>
      </x:c>
      <x:c r="M44" s="203" t="n">
        <x:v>2500</x:v>
      </x:c>
      <x:c r="N44" s="203" t="n">
        <x:v>2500</x:v>
      </x:c>
      <x:c r="O44" s="203" t="n">
        <x:v>2500</x:v>
      </x:c>
      <x:c r="P44" s="201" t="n">
        <x:f>SUM(D44:O44)</x:f>
        <x:v>30000</x:v>
      </x:c>
    </x:row>
    <x:row r="45">
      <x:c r="B45" s="176" t="str">
        <x:v>Administration salaries</x:v>
      </x:c>
      <x:c r="C45" s="176" t="str">
        <x:v>€2,000 per month</x:v>
      </x:c>
      <x:c r="D45" s="203" t="n">
        <x:v>2000</x:v>
      </x:c>
      <x:c r="E45" s="203" t="n">
        <x:v>2000</x:v>
      </x:c>
      <x:c r="F45" s="203" t="n">
        <x:v>2000</x:v>
      </x:c>
      <x:c r="G45" s="203" t="n">
        <x:v>2000</x:v>
      </x:c>
      <x:c r="H45" s="203" t="n">
        <x:v>2000</x:v>
      </x:c>
      <x:c r="I45" s="203" t="n">
        <x:v>2000</x:v>
      </x:c>
      <x:c r="J45" s="203" t="n">
        <x:v>2000</x:v>
      </x:c>
      <x:c r="K45" s="203" t="n">
        <x:v>2000</x:v>
      </x:c>
      <x:c r="L45" s="203" t="n">
        <x:v>2000</x:v>
      </x:c>
      <x:c r="M45" s="203" t="n">
        <x:v>2000</x:v>
      </x:c>
      <x:c r="N45" s="203" t="n">
        <x:v>2000</x:v>
      </x:c>
      <x:c r="O45" s="203" t="n">
        <x:v>2000</x:v>
      </x:c>
      <x:c r="P45" s="201" t="n">
        <x:f>SUM(D45:O45)</x:f>
        <x:v>24000</x:v>
      </x:c>
    </x:row>
    <x:row r="46">
      <x:c r="B46" s="176" t="str">
        <x:v>Employer payroll costs</x:v>
      </x:c>
      <x:c r="C46" s="176" t="str">
        <x:v>25% of fixed salaries</x:v>
      </x:c>
      <x:c r="D46" s="201" t="n">
        <x:f>25%*SUM(D43:D45)</x:f>
        <x:v>2925</x:v>
      </x:c>
      <x:c r="E46" s="201" t="n">
        <x:f>25%*SUM(E43:E45)</x:f>
        <x:v>2925</x:v>
      </x:c>
      <x:c r="F46" s="201" t="n">
        <x:f>25%*SUM(F43:F45)</x:f>
        <x:v>2475</x:v>
      </x:c>
      <x:c r="G46" s="201" t="n">
        <x:f>25%*SUM(G43:G45)</x:f>
        <x:v>2475</x:v>
      </x:c>
      <x:c r="H46" s="201" t="n">
        <x:f>25%*SUM(H43:H45)</x:f>
        <x:v>2925</x:v>
      </x:c>
      <x:c r="I46" s="201" t="n">
        <x:f>25%*SUM(I43:I45)</x:f>
        <x:v>2925</x:v>
      </x:c>
      <x:c r="J46" s="201" t="n">
        <x:f>25%*SUM(J43:J45)</x:f>
        <x:v>2925</x:v>
      </x:c>
      <x:c r="K46" s="201" t="n">
        <x:f>25%*SUM(K43:K45)</x:f>
        <x:v>2925</x:v>
      </x:c>
      <x:c r="L46" s="201" t="n">
        <x:f>25%*SUM(L43:L45)</x:f>
        <x:v>2925</x:v>
      </x:c>
      <x:c r="M46" s="201" t="n">
        <x:f>25%*SUM(M43:M45)</x:f>
        <x:v>2925</x:v>
      </x:c>
      <x:c r="N46" s="201" t="n">
        <x:f>25%*SUM(N43:N45)</x:f>
        <x:v>2925</x:v>
      </x:c>
      <x:c r="O46" s="201" t="n">
        <x:f>25%*SUM(O43:O45)</x:f>
        <x:v>2925</x:v>
      </x:c>
      <x:c r="P46" s="201" t="n">
        <x:f>SUM(D46:O46)</x:f>
        <x:v>34200</x:v>
      </x:c>
    </x:row>
    <x:row r="47">
      <x:c r="B47" s="176" t="str">
        <x:v>Marketing</x:v>
      </x:c>
      <x:c r="C47" s="176" t="str">
        <x:v>Existing 2026 marketing plan</x:v>
      </x:c>
      <x:c r="D47" s="200" t="n">
        <x:f>'07 Draft Operating Costs'!D11</x:f>
        <x:v>5500</x:v>
      </x:c>
      <x:c r="E47" s="200" t="n">
        <x:f>'07 Draft Operating Costs'!E11</x:f>
        <x:v>5000</x:v>
      </x:c>
      <x:c r="F47" s="200" t="n">
        <x:f>'07 Draft Operating Costs'!F11</x:f>
        <x:v>5000</x:v>
      </x:c>
      <x:c r="G47" s="200" t="n">
        <x:f>'07 Draft Operating Costs'!G11</x:f>
        <x:v>4500</x:v>
      </x:c>
      <x:c r="H47" s="200" t="n">
        <x:f>'07 Draft Operating Costs'!H11</x:f>
        <x:v>4000</x:v>
      </x:c>
      <x:c r="I47" s="200" t="n">
        <x:f>'07 Draft Operating Costs'!I11</x:f>
        <x:v>3500</x:v>
      </x:c>
      <x:c r="J47" s="200" t="n">
        <x:f>'07 Draft Operating Costs'!J11</x:f>
        <x:v>2000</x:v>
      </x:c>
      <x:c r="K47" s="200" t="n">
        <x:f>'07 Draft Operating Costs'!K11</x:f>
        <x:v>3000</x:v>
      </x:c>
      <x:c r="L47" s="200" t="n">
        <x:f>'07 Draft Operating Costs'!L11</x:f>
        <x:v>5500</x:v>
      </x:c>
      <x:c r="M47" s="200" t="n">
        <x:f>'07 Draft Operating Costs'!M11</x:f>
        <x:v>6000</x:v>
      </x:c>
      <x:c r="N47" s="200" t="n">
        <x:f>'07 Draft Operating Costs'!N11</x:f>
        <x:v>5000</x:v>
      </x:c>
      <x:c r="O47" s="200" t="n">
        <x:f>'07 Draft Operating Costs'!O11</x:f>
        <x:v>3500</x:v>
      </x:c>
      <x:c r="P47" s="200" t="n">
        <x:f>SUM(D47:O47)</x:f>
        <x:v>52500</x:v>
      </x:c>
    </x:row>
    <x:row r="48">
      <x:c r="B48" s="176" t="str">
        <x:v>Rent and utilities</x:v>
      </x:c>
      <x:c r="C48" s="176" t="str">
        <x:v>Existing monthly cost base</x:v>
      </x:c>
      <x:c r="D48" s="203" t="n">
        <x:v>1800</x:v>
      </x:c>
      <x:c r="E48" s="203" t="n">
        <x:v>1800</x:v>
      </x:c>
      <x:c r="F48" s="203" t="n">
        <x:v>1800</x:v>
      </x:c>
      <x:c r="G48" s="203" t="n">
        <x:v>1800</x:v>
      </x:c>
      <x:c r="H48" s="203" t="n">
        <x:v>1800</x:v>
      </x:c>
      <x:c r="I48" s="203" t="n">
        <x:v>1800</x:v>
      </x:c>
      <x:c r="J48" s="203" t="n">
        <x:v>1800</x:v>
      </x:c>
      <x:c r="K48" s="203" t="n">
        <x:v>1800</x:v>
      </x:c>
      <x:c r="L48" s="203" t="n">
        <x:v>1800</x:v>
      </x:c>
      <x:c r="M48" s="203" t="n">
        <x:v>1800</x:v>
      </x:c>
      <x:c r="N48" s="203" t="n">
        <x:v>1800</x:v>
      </x:c>
      <x:c r="O48" s="203" t="n">
        <x:v>1800</x:v>
      </x:c>
      <x:c r="P48" s="201" t="n">
        <x:f>SUM(D48:O48)</x:f>
        <x:v>21600</x:v>
      </x:c>
    </x:row>
    <x:row r="49">
      <x:c r="B49" s="176" t="str">
        <x:v>Software</x:v>
      </x:c>
      <x:c r="C49" s="176" t="str">
        <x:v>Existing monthly cost base</x:v>
      </x:c>
      <x:c r="D49" s="203" t="n">
        <x:v>450</x:v>
      </x:c>
      <x:c r="E49" s="203" t="n">
        <x:v>450</x:v>
      </x:c>
      <x:c r="F49" s="203" t="n">
        <x:v>450</x:v>
      </x:c>
      <x:c r="G49" s="203" t="n">
        <x:v>450</x:v>
      </x:c>
      <x:c r="H49" s="203" t="n">
        <x:v>450</x:v>
      </x:c>
      <x:c r="I49" s="203" t="n">
        <x:v>450</x:v>
      </x:c>
      <x:c r="J49" s="203" t="n">
        <x:v>450</x:v>
      </x:c>
      <x:c r="K49" s="203" t="n">
        <x:v>450</x:v>
      </x:c>
      <x:c r="L49" s="203" t="n">
        <x:v>450</x:v>
      </x:c>
      <x:c r="M49" s="203" t="n">
        <x:v>450</x:v>
      </x:c>
      <x:c r="N49" s="203" t="n">
        <x:v>450</x:v>
      </x:c>
      <x:c r="O49" s="203" t="n">
        <x:v>450</x:v>
      </x:c>
      <x:c r="P49" s="201" t="n">
        <x:f>SUM(D49:O49)</x:f>
        <x:v>5400</x:v>
      </x:c>
    </x:row>
    <x:row r="50">
      <x:c r="B50" s="176" t="str">
        <x:v>Accounting and legal</x:v>
      </x:c>
      <x:c r="C50" s="176" t="str">
        <x:v>Existing monthly cost base</x:v>
      </x:c>
      <x:c r="D50" s="203" t="n">
        <x:v>600</x:v>
      </x:c>
      <x:c r="E50" s="203" t="n">
        <x:v>600</x:v>
      </x:c>
      <x:c r="F50" s="203" t="n">
        <x:v>600</x:v>
      </x:c>
      <x:c r="G50" s="203" t="n">
        <x:v>600</x:v>
      </x:c>
      <x:c r="H50" s="203" t="n">
        <x:v>600</x:v>
      </x:c>
      <x:c r="I50" s="203" t="n">
        <x:v>600</x:v>
      </x:c>
      <x:c r="J50" s="203" t="n">
        <x:v>600</x:v>
      </x:c>
      <x:c r="K50" s="203" t="n">
        <x:v>600</x:v>
      </x:c>
      <x:c r="L50" s="203" t="n">
        <x:v>600</x:v>
      </x:c>
      <x:c r="M50" s="203" t="n">
        <x:v>600</x:v>
      </x:c>
      <x:c r="N50" s="203" t="n">
        <x:v>600</x:v>
      </x:c>
      <x:c r="O50" s="203" t="n">
        <x:v>600</x:v>
      </x:c>
      <x:c r="P50" s="201" t="n">
        <x:f>SUM(D50:O50)</x:f>
        <x:v>7200</x:v>
      </x:c>
    </x:row>
    <x:row r="51">
      <x:c r="B51" s="176" t="str">
        <x:v>Insurance</x:v>
      </x:c>
      <x:c r="C51" s="176" t="str">
        <x:v>€1,800 annual cost accrued evenly</x:v>
      </x:c>
      <x:c r="D51" s="203" t="n">
        <x:v>150</x:v>
      </x:c>
      <x:c r="E51" s="203" t="n">
        <x:v>150</x:v>
      </x:c>
      <x:c r="F51" s="203" t="n">
        <x:v>150</x:v>
      </x:c>
      <x:c r="G51" s="203" t="n">
        <x:v>150</x:v>
      </x:c>
      <x:c r="H51" s="203" t="n">
        <x:v>150</x:v>
      </x:c>
      <x:c r="I51" s="203" t="n">
        <x:v>150</x:v>
      </x:c>
      <x:c r="J51" s="203" t="n">
        <x:v>150</x:v>
      </x:c>
      <x:c r="K51" s="203" t="n">
        <x:v>150</x:v>
      </x:c>
      <x:c r="L51" s="203" t="n">
        <x:v>150</x:v>
      </x:c>
      <x:c r="M51" s="203" t="n">
        <x:v>150</x:v>
      </x:c>
      <x:c r="N51" s="203" t="n">
        <x:v>150</x:v>
      </x:c>
      <x:c r="O51" s="203" t="n">
        <x:v>150</x:v>
      </x:c>
      <x:c r="P51" s="201" t="n">
        <x:f>SUM(D51:O51)</x:f>
        <x:v>1800</x:v>
      </x:c>
    </x:row>
    <x:row r="52">
      <x:c r="B52" s="176" t="str">
        <x:v>Administration travel</x:v>
      </x:c>
      <x:c r="C52" s="176" t="str">
        <x:v>Existing monthly cost base</x:v>
      </x:c>
      <x:c r="D52" s="203" t="n">
        <x:v>350</x:v>
      </x:c>
      <x:c r="E52" s="203" t="n">
        <x:v>350</x:v>
      </x:c>
      <x:c r="F52" s="203" t="n">
        <x:v>350</x:v>
      </x:c>
      <x:c r="G52" s="203" t="n">
        <x:v>350</x:v>
      </x:c>
      <x:c r="H52" s="203" t="n">
        <x:v>350</x:v>
      </x:c>
      <x:c r="I52" s="203" t="n">
        <x:v>350</x:v>
      </x:c>
      <x:c r="J52" s="203" t="n">
        <x:v>350</x:v>
      </x:c>
      <x:c r="K52" s="203" t="n">
        <x:v>350</x:v>
      </x:c>
      <x:c r="L52" s="203" t="n">
        <x:v>350</x:v>
      </x:c>
      <x:c r="M52" s="203" t="n">
        <x:v>350</x:v>
      </x:c>
      <x:c r="N52" s="203" t="n">
        <x:v>350</x:v>
      </x:c>
      <x:c r="O52" s="203" t="n">
        <x:v>350</x:v>
      </x:c>
      <x:c r="P52" s="201" t="n">
        <x:f>SUM(D52:O52)</x:f>
        <x:v>4200</x:v>
      </x:c>
    </x:row>
    <x:row r="53">
      <x:c r="B53" s="176" t="str">
        <x:v>Existing depreciation</x:v>
      </x:c>
      <x:c r="C53" s="176" t="str">
        <x:v>Existing monthly cost base</x:v>
      </x:c>
      <x:c r="D53" s="203" t="n">
        <x:v>800</x:v>
      </x:c>
      <x:c r="E53" s="203" t="n">
        <x:v>800</x:v>
      </x:c>
      <x:c r="F53" s="203" t="n">
        <x:v>800</x:v>
      </x:c>
      <x:c r="G53" s="203" t="n">
        <x:v>800</x:v>
      </x:c>
      <x:c r="H53" s="203" t="n">
        <x:v>800</x:v>
      </x:c>
      <x:c r="I53" s="203" t="n">
        <x:v>800</x:v>
      </x:c>
      <x:c r="J53" s="203" t="n">
        <x:v>800</x:v>
      </x:c>
      <x:c r="K53" s="203" t="n">
        <x:v>800</x:v>
      </x:c>
      <x:c r="L53" s="203" t="n">
        <x:v>800</x:v>
      </x:c>
      <x:c r="M53" s="203" t="n">
        <x:v>800</x:v>
      </x:c>
      <x:c r="N53" s="203" t="n">
        <x:v>800</x:v>
      </x:c>
      <x:c r="O53" s="203" t="n">
        <x:v>800</x:v>
      </x:c>
      <x:c r="P53" s="201" t="n">
        <x:f>SUM(D53:O53)</x:f>
        <x:v>9600</x:v>
      </x:c>
    </x:row>
    <x:row r="54">
      <x:c r="B54" s="176" t="str">
        <x:v>Studio depreciation</x:v>
      </x:c>
      <x:c r="C54" s="176" t="str">
        <x:v>€25,000 / 60 months from May; capex itself excluded from P&amp;L</x:v>
      </x:c>
      <x:c r="D54" s="203" t="n">
        <x:v>0</x:v>
      </x:c>
      <x:c r="E54" s="203" t="n">
        <x:v>0</x:v>
      </x:c>
      <x:c r="F54" s="203" t="n">
        <x:v>0</x:v>
      </x:c>
      <x:c r="G54" s="203" t="n">
        <x:v>0</x:v>
      </x:c>
      <x:c r="H54" s="203" t="n">
        <x:v>416.6666666666667</x:v>
      </x:c>
      <x:c r="I54" s="203" t="n">
        <x:v>416.6666666666667</x:v>
      </x:c>
      <x:c r="J54" s="203" t="n">
        <x:v>416.6666666666667</x:v>
      </x:c>
      <x:c r="K54" s="203" t="n">
        <x:v>416.6666666666667</x:v>
      </x:c>
      <x:c r="L54" s="203" t="n">
        <x:v>416.6666666666667</x:v>
      </x:c>
      <x:c r="M54" s="203" t="n">
        <x:v>416.6666666666667</x:v>
      </x:c>
      <x:c r="N54" s="203" t="n">
        <x:v>416.6666666666667</x:v>
      </x:c>
      <x:c r="O54" s="203" t="n">
        <x:v>416.6666666666667</x:v>
      </x:c>
      <x:c r="P54" s="201" t="n">
        <x:f>SUM(D54:O54)</x:f>
        <x:v>3333.333333333333</x:v>
      </x:c>
    </x:row>
    <x:row r="55">
      <x:c r="B55" s="176" t="str">
        <x:v>Interest</x:v>
      </x:c>
      <x:c r="C55" s="176" t="str">
        <x:v>Existing monthly cost base</x:v>
      </x:c>
      <x:c r="D55" s="203" t="n">
        <x:v>250</x:v>
      </x:c>
      <x:c r="E55" s="203" t="n">
        <x:v>250</x:v>
      </x:c>
      <x:c r="F55" s="203" t="n">
        <x:v>250</x:v>
      </x:c>
      <x:c r="G55" s="203" t="n">
        <x:v>250</x:v>
      </x:c>
      <x:c r="H55" s="203" t="n">
        <x:v>250</x:v>
      </x:c>
      <x:c r="I55" s="203" t="n">
        <x:v>250</x:v>
      </x:c>
      <x:c r="J55" s="203" t="n">
        <x:v>250</x:v>
      </x:c>
      <x:c r="K55" s="203" t="n">
        <x:v>250</x:v>
      </x:c>
      <x:c r="L55" s="203" t="n">
        <x:v>250</x:v>
      </x:c>
      <x:c r="M55" s="203" t="n">
        <x:v>250</x:v>
      </x:c>
      <x:c r="N55" s="203" t="n">
        <x:v>250</x:v>
      </x:c>
      <x:c r="O55" s="203" t="n">
        <x:v>250</x:v>
      </x:c>
      <x:c r="P55" s="201" t="n">
        <x:f>SUM(D55:O55)</x:f>
        <x:v>3000</x:v>
      </x:c>
    </x:row>
    <x:row r="56">
      <x:c r="B56" s="176" t="str">
        <x:v>Other expenses</x:v>
      </x:c>
      <x:c r="C56" s="176" t="str">
        <x:v>Existing monthly cost base</x:v>
      </x:c>
      <x:c r="D56" s="203" t="n">
        <x:v>350</x:v>
      </x:c>
      <x:c r="E56" s="203" t="n">
        <x:v>350</x:v>
      </x:c>
      <x:c r="F56" s="203" t="n">
        <x:v>350</x:v>
      </x:c>
      <x:c r="G56" s="203" t="n">
        <x:v>350</x:v>
      </x:c>
      <x:c r="H56" s="203" t="n">
        <x:v>350</x:v>
      </x:c>
      <x:c r="I56" s="203" t="n">
        <x:v>350</x:v>
      </x:c>
      <x:c r="J56" s="203" t="n">
        <x:v>350</x:v>
      </x:c>
      <x:c r="K56" s="203" t="n">
        <x:v>350</x:v>
      </x:c>
      <x:c r="L56" s="203" t="n">
        <x:v>350</x:v>
      </x:c>
      <x:c r="M56" s="203" t="n">
        <x:v>350</x:v>
      </x:c>
      <x:c r="N56" s="203" t="n">
        <x:v>350</x:v>
      </x:c>
      <x:c r="O56" s="203" t="n">
        <x:v>350</x:v>
      </x:c>
      <x:c r="P56" s="201" t="n">
        <x:f>SUM(D56:O56)</x:f>
        <x:v>4200</x:v>
      </x:c>
    </x:row>
    <x:row r="57">
      <x:c r="B57" s="197" t="str">
        <x:v>Corrected operating expenses</x:v>
      </x:c>
      <x:c r="C57" s="197" t="str">
        <x:v>Sum of the corrected operating-cost schedule; displayed as a negative amount</x:v>
      </x:c>
      <x:c r="D57" s="202" t="n">
        <x:f>-SUM(D43:D56)</x:f>
        <x:v>-24875</x:v>
      </x:c>
      <x:c r="E57" s="202" t="n">
        <x:f>-SUM(E43:E56)</x:f>
        <x:v>-24375</x:v>
      </x:c>
      <x:c r="F57" s="202" t="n">
        <x:f>-SUM(F43:F56)</x:f>
        <x:v>-22125</x:v>
      </x:c>
      <x:c r="G57" s="202" t="n">
        <x:f>-SUM(G43:G56)</x:f>
        <x:v>-21625</x:v>
      </x:c>
      <x:c r="H57" s="202" t="n">
        <x:f>-SUM(H43:H56)</x:f>
        <x:v>-23791.666666666668</x:v>
      </x:c>
      <x:c r="I57" s="202" t="n">
        <x:f>-SUM(I43:I56)</x:f>
        <x:v>-23291.666666666668</x:v>
      </x:c>
      <x:c r="J57" s="202" t="n">
        <x:f>-SUM(J43:J56)</x:f>
        <x:v>-21791.666666666668</x:v>
      </x:c>
      <x:c r="K57" s="202" t="n">
        <x:f>-SUM(K43:K56)</x:f>
        <x:v>-22791.666666666668</x:v>
      </x:c>
      <x:c r="L57" s="202" t="n">
        <x:f>-SUM(L43:L56)</x:f>
        <x:v>-25291.666666666668</x:v>
      </x:c>
      <x:c r="M57" s="202" t="n">
        <x:f>-SUM(M43:M56)</x:f>
        <x:v>-25791.666666666668</x:v>
      </x:c>
      <x:c r="N57" s="202" t="n">
        <x:f>-SUM(N43:N56)</x:f>
        <x:v>-24791.666666666668</x:v>
      </x:c>
      <x:c r="O57" s="202" t="n">
        <x:f>-SUM(O43:O56)</x:f>
        <x:v>-23291.666666666668</x:v>
      </x:c>
      <x:c r="P57" s="202" t="n">
        <x:f>SUM(D57:O57)</x:f>
        <x:v>-283833.3333333333</x:v>
      </x:c>
    </x:row>
    <x:row r="58">
      <x:c r="B58" s="176"/>
      <x:c r="C58" s="176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</x:row>
    <x:row r="59">
      <x:c r="B59" s="197" t="str">
        <x:v>Contribution</x:v>
      </x:c>
      <x:c r="C59" s="197" t="str">
        <x:v>Corrected revenue plus direct program costs</x:v>
      </x:c>
      <x:c r="D59" s="202" t="n">
        <x:f>D29+D41</x:f>
        <x:v>26143.749999999996</x:v>
      </x:c>
      <x:c r="E59" s="202" t="n">
        <x:f>E29+E41</x:f>
        <x:v>29795</x:v>
      </x:c>
      <x:c r="F59" s="202" t="n">
        <x:f>F29+F41</x:f>
        <x:v>16669.423076923078</x:v>
      </x:c>
      <x:c r="G59" s="202" t="n">
        <x:f>G29+G41</x:f>
        <x:v>23556.923076923078</x:v>
      </x:c>
      <x:c r="H59" s="202" t="n">
        <x:f>H29+H41</x:f>
        <x:v>17655.75</x:v>
      </x:c>
      <x:c r="I59" s="202" t="n">
        <x:f>I29+I41</x:f>
        <x:v>12908.59375</x:v>
      </x:c>
      <x:c r="J59" s="202" t="n">
        <x:f>J29+J41</x:f>
        <x:v>7333.370522702247</x:v>
      </x:c>
      <x:c r="K59" s="202" t="n">
        <x:f>K29+K41</x:f>
        <x:v>17697.14845521083</x:v>
      </x:c>
      <x:c r="L59" s="202" t="n">
        <x:f>L29+L41</x:f>
        <x:v>32107.195630114216</x:v>
      </x:c>
      <x:c r="M59" s="202" t="n">
        <x:f>M29+M41</x:f>
        <x:v>31319.062115421984</x:v>
      </x:c>
      <x:c r="N59" s="202" t="n">
        <x:f>N29+N41</x:f>
        <x:v>22288.295998644793</x:v>
      </x:c>
      <x:c r="O59" s="202" t="n">
        <x:f>O29+O41</x:f>
        <x:v>19811.12766370879</x:v>
      </x:c>
      <x:c r="P59" s="202" t="n">
        <x:f>SUM(D59:O59)</x:f>
        <x:v>257285.64028964902</x:v>
      </x:c>
    </x:row>
    <x:row r="60">
      <x:c r="B60" s="197" t="str">
        <x:v>Operating profit</x:v>
      </x:c>
      <x:c r="C60" s="197" t="str">
        <x:v>Contribution plus operating expenses, including interest</x:v>
      </x:c>
      <x:c r="D60" s="202" t="n">
        <x:f>D59+D57</x:f>
        <x:v>1268.7499999999964</x:v>
      </x:c>
      <x:c r="E60" s="202" t="n">
        <x:f>E59+E57</x:f>
        <x:v>5420</x:v>
      </x:c>
      <x:c r="F60" s="202" t="n">
        <x:f>F59+F57</x:f>
        <x:v>-5455.576923076922</x:v>
      </x:c>
      <x:c r="G60" s="202" t="n">
        <x:f>G59+G57</x:f>
        <x:v>1931.923076923078</x:v>
      </x:c>
      <x:c r="H60" s="202" t="n">
        <x:f>H59+H57</x:f>
        <x:v>-6135.916666666668</x:v>
      </x:c>
      <x:c r="I60" s="202" t="n">
        <x:f>I59+I57</x:f>
        <x:v>-10383.072916666668</x:v>
      </x:c>
      <x:c r="J60" s="202" t="n">
        <x:f>J59+J57</x:f>
        <x:v>-14458.29614396442</x:v>
      </x:c>
      <x:c r="K60" s="202" t="n">
        <x:f>K59+K57</x:f>
        <x:v>-5094.518211455837</x:v>
      </x:c>
      <x:c r="L60" s="202" t="n">
        <x:f>L59+L57</x:f>
        <x:v>6815.528963447548</x:v>
      </x:c>
      <x:c r="M60" s="202" t="n">
        <x:f>M59+M57</x:f>
        <x:v>5527.3954487553165</x:v>
      </x:c>
      <x:c r="N60" s="202" t="n">
        <x:f>N59+N57</x:f>
        <x:v>-2503.3706680218747</x:v>
      </x:c>
      <x:c r="O60" s="202" t="n">
        <x:f>O59+O57</x:f>
        <x:v>-3480.5390029578775</x:v>
      </x:c>
      <x:c r="P60" s="202" t="n">
        <x:f>SUM(D60:O60)</x:f>
        <x:v>-26547.69304368433</x:v>
      </x:c>
    </x:row>
    <x:row r="61">
      <x:c r="B61" s="176" t="str">
        <x:v>Contribution margin</x:v>
      </x:c>
      <x:c r="C61" s="176" t="str">
        <x:v>Contribution divided by revenue</x:v>
      </x:c>
      <x:c r="D61" s="204" t="n">
        <x:f>IF(D29=0,"",D59/D29)</x:f>
        <x:v>0.6</x:v>
      </x:c>
      <x:c r="E61" s="204" t="n">
        <x:f>IF(E29=0,"",E59/E29)</x:f>
        <x:v>0.59</x:v>
      </x:c>
      <x:c r="F61" s="204" t="n">
        <x:f>IF(F29=0,"",F59/F29)</x:f>
        <x:v>0.61</x:v>
      </x:c>
      <x:c r="G61" s="204" t="n">
        <x:f>IF(G29=0,"",G59/G29)</x:f>
        <x:v>0.58</x:v>
      </x:c>
      <x:c r="H61" s="204" t="n">
        <x:f>IF(H29=0,"",H59/H29)</x:f>
        <x:v>0.59</x:v>
      </x:c>
      <x:c r="I61" s="204" t="n">
        <x:f>IF(I29=0,"",I59/I29)</x:f>
        <x:v>0.6</x:v>
      </x:c>
      <x:c r="J61" s="204" t="n">
        <x:f>IF(J29=0,"",J59/J29)</x:f>
        <x:v>0.5513812423084397</x:v>
      </x:c>
      <x:c r="K61" s="204" t="n">
        <x:f>IF(K29=0,"",K59/K29)</x:f>
        <x:v>0.5618142366733597</x:v>
      </x:c>
      <x:c r="L61" s="204" t="n">
        <x:f>IF(L29=0,"",L59/L29)</x:f>
        <x:v>0.5931132197681197</x:v>
      </x:c>
      <x:c r="M61" s="204" t="n">
        <x:f>IF(M29=0,"",M59/M29)</x:f>
        <x:v>0.5826802254031997</x:v>
      </x:c>
      <x:c r="N61" s="204" t="n">
        <x:f>IF(N29=0,"",N59/N29)</x:f>
        <x:v>0.5722472310382797</x:v>
      </x:c>
      <x:c r="O61" s="204" t="n">
        <x:f>IF(O29=0,"",O59/O29)</x:f>
        <x:v>0.5826802254031997</x:v>
      </x:c>
      <x:c r="P61" s="204" t="n">
        <x:f>IF(P29=0,"",P59/P29)</x:f>
        <x:v>0.585956485884057</x:v>
      </x:c>
    </x:row>
    <x:row r="62">
      <x:c r="B62" s="178" t="str">
        <x:v>Operating margin</x:v>
      </x:c>
      <x:c r="C62" s="178" t="str">
        <x:v>Operating profit divided by revenue</x:v>
      </x:c>
      <x:c r="D62" s="207" t="n">
        <x:f>IF(D29=0,"",D60/D29)</x:f>
        <x:v>0.02911785799665304</x:v>
      </x:c>
      <x:c r="E62" s="207" t="n">
        <x:f>IF(E29=0,"",E60/E29)</x:f>
        <x:v>0.10732673267326732</x:v>
      </x:c>
      <x:c r="F62" s="207" t="n">
        <x:f>IF(F29=0,"",F60/F29)</x:f>
        <x:v>-0.19964109781843767</x:v>
      </x:c>
      <x:c r="G62" s="207" t="n">
        <x:f>IF(G29=0,"",G60/G29)</x:f>
        <x:v>0.0475662878787879</x:v>
      </x:c>
      <x:c r="H62" s="207" t="n">
        <x:f>IF(H29=0,"",H60/H29)</x:f>
        <x:v>-0.20504316346421614</x:v>
      </x:c>
      <x:c r="I62" s="207" t="n">
        <x:f>IF(I29=0,"",I60/I29)</x:f>
        <x:v>-0.48261211644374513</x:v>
      </x:c>
      <x:c r="J62" s="207" t="n">
        <x:f>IF(J29=0,"",J60/J29)</x:f>
        <x:v>-1.0870899356364225</x:v>
      </x:c>
      <x:c r="K62" s="207" t="n">
        <x:f>IF(K29=0,"",K60/K29)</x:f>
        <x:v>-0.16173073687161388</x:v>
      </x:c>
      <x:c r="L62" s="207" t="n">
        <x:f>IF(L29=0,"",L60/L29)</x:f>
        <x:v>0.1259026286351148</x:v>
      </x:c>
      <x:c r="M62" s="207" t="n">
        <x:f>IF(M29=0,"",M60/M29)</x:f>
        <x:v>0.10283526416288961</x:v>
      </x:c>
      <x:c r="N62" s="207" t="n">
        <x:f>IF(N29=0,"",N60/N29)</x:f>
        <x:v>-0.06427350628890922</x:v>
      </x:c>
      <x:c r="O62" s="207" t="n">
        <x:f>IF(O29=0,"",O60/O29)</x:f>
        <x:v>-0.10236879420464345</x:v>
      </x:c>
      <x:c r="P62" s="207" t="n">
        <x:f>IF(P29=0,"",P60/P29)</x:f>
        <x:v>-0.060461178115861325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31" hidden="0" customWidth="1"/>
    <x:col min="3" max="3" width="4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2">
      <x:c r="B2" s="164" t="str">
        <x:v>Part 2 Management Decision Build</x:v>
      </x:c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4"/>
      <x:c r="O2" s="164"/>
      <x:c r="P2" s="164"/>
    </x:row>
    <x:row r="3">
      <x:c r="B3" s="165" t="str">
        <x:v>Part 1 plus three explicit decisions: retain selected client relationships, move demand generation earlier, and use internal instructor capacity. EUR excluding VAT.</x:v>
      </x:c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  <x:c r="M3" s="165"/>
      <x:c r="N3" s="165"/>
      <x:c r="O3" s="165"/>
      <x:c r="P3" s="165"/>
    </x:row>
    <x:row r="4"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B5" s="182" t="str">
        <x:v>Part 1 starting point</x:v>
      </x:c>
      <x:c r="C5" s="183"/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  <x:c r="O5" s="183"/>
      <x:c r="P5" s="184"/>
    </x:row>
    <x:row r="6" ht="24" customHeight="1">
      <x:c r="B6" s="170" t="str">
        <x:v>Line</x:v>
      </x:c>
      <x:c r="C6" s="171" t="str">
        <x:v>Method or source</x:v>
      </x:c>
      <x:c r="D6" s="171" t="str">
        <x:v>Jan</x:v>
      </x:c>
      <x:c r="E6" s="171" t="str">
        <x:v>Feb</x:v>
      </x:c>
      <x:c r="F6" s="171" t="str">
        <x:v>Mar</x:v>
      </x:c>
      <x:c r="G6" s="171" t="str">
        <x:v>Apr</x:v>
      </x:c>
      <x:c r="H6" s="171" t="str">
        <x:v>May</x:v>
      </x:c>
      <x:c r="I6" s="171" t="str">
        <x:v>Jun</x:v>
      </x:c>
      <x:c r="J6" s="171" t="str">
        <x:v>Jul</x:v>
      </x:c>
      <x:c r="K6" s="171" t="str">
        <x:v>Aug</x:v>
      </x:c>
      <x:c r="L6" s="171" t="str">
        <x:v>Sep</x:v>
      </x:c>
      <x:c r="M6" s="171" t="str">
        <x:v>Oct</x:v>
      </x:c>
      <x:c r="N6" s="171" t="str">
        <x:v>Nov</x:v>
      </x:c>
      <x:c r="O6" s="171" t="str">
        <x:v>Dec</x:v>
      </x:c>
      <x:c r="P6" s="172" t="str">
        <x:v>FY Total</x:v>
      </x:c>
    </x:row>
    <x:row r="7">
      <x:c r="B7" s="174" t="str">
        <x:v>Part 1 revenue</x:v>
      </x:c>
      <x:c r="C7" s="174" t="str">
        <x:v>14 Part 1 Build</x:v>
      </x:c>
      <x:c r="D7" s="199" t="n">
        <x:f>'14 Part 1 Build'!D29</x:f>
        <x:v>43572.916666666664</x:v>
      </x:c>
      <x:c r="E7" s="199" t="n">
        <x:f>'14 Part 1 Build'!E29</x:f>
        <x:v>50500</x:v>
      </x:c>
      <x:c r="F7" s="199" t="n">
        <x:f>'14 Part 1 Build'!F29</x:f>
        <x:v>27326.923076923078</x:v>
      </x:c>
      <x:c r="G7" s="199" t="n">
        <x:f>'14 Part 1 Build'!G29</x:f>
        <x:v>40615.38461538462</x:v>
      </x:c>
      <x:c r="H7" s="199" t="n">
        <x:f>'14 Part 1 Build'!H29</x:f>
        <x:v>29925</x:v>
      </x:c>
      <x:c r="I7" s="199" t="n">
        <x:f>'14 Part 1 Build'!I29</x:f>
        <x:v>21514.322916666668</x:v>
      </x:c>
      <x:c r="J7" s="199" t="n">
        <x:f>'14 Part 1 Build'!J29</x:f>
        <x:v>13300</x:v>
      </x:c>
      <x:c r="K7" s="199" t="n">
        <x:f>'14 Part 1 Build'!K29</x:f>
        <x:v>31500</x:v>
      </x:c>
      <x:c r="L7" s="199" t="n">
        <x:f>'14 Part 1 Build'!L29</x:f>
        <x:v>54133.333333333336</x:v>
      </x:c>
      <x:c r="M7" s="199" t="n">
        <x:f>'14 Part 1 Build'!M29</x:f>
        <x:v>53750</x:v>
      </x:c>
      <x:c r="N7" s="199" t="n">
        <x:f>'14 Part 1 Build'!N29</x:f>
        <x:v>38948.71794871795</x:v>
      </x:c>
      <x:c r="O7" s="199" t="n">
        <x:f>'14 Part 1 Build'!O29</x:f>
        <x:v>34000</x:v>
      </x:c>
      <x:c r="P7" s="199" t="n">
        <x:f>SUM(D7:O7)</x:f>
        <x:v>439086.59855769225</x:v>
      </x:c>
    </x:row>
    <x:row r="8">
      <x:c r="B8" s="176" t="str">
        <x:v>Part 1 direct program costs</x:v>
      </x:c>
      <x:c r="C8" s="176" t="str">
        <x:v>14 Part 1 Build</x:v>
      </x:c>
      <x:c r="D8" s="200" t="n">
        <x:f>'14 Part 1 Build'!D41</x:f>
        <x:v>-17429.166666666668</x:v>
      </x:c>
      <x:c r="E8" s="200" t="n">
        <x:f>'14 Part 1 Build'!E41</x:f>
        <x:v>-20705</x:v>
      </x:c>
      <x:c r="F8" s="200" t="n">
        <x:f>'14 Part 1 Build'!F41</x:f>
        <x:v>-10657.5</x:v>
      </x:c>
      <x:c r="G8" s="200" t="n">
        <x:f>'14 Part 1 Build'!G41</x:f>
        <x:v>-17058.46153846154</x:v>
      </x:c>
      <x:c r="H8" s="200" t="n">
        <x:f>'14 Part 1 Build'!H41</x:f>
        <x:v>-12269.25</x:v>
      </x:c>
      <x:c r="I8" s="200" t="n">
        <x:f>'14 Part 1 Build'!I41</x:f>
        <x:v>-8605.729166666668</x:v>
      </x:c>
      <x:c r="J8" s="200" t="n">
        <x:f>'14 Part 1 Build'!J41</x:f>
        <x:v>-5966.629477297753</x:v>
      </x:c>
      <x:c r="K8" s="200" t="n">
        <x:f>'14 Part 1 Build'!K41</x:f>
        <x:v>-13802.85154478917</x:v>
      </x:c>
      <x:c r="L8" s="200" t="n">
        <x:f>'14 Part 1 Build'!L41</x:f>
        <x:v>-22026.13770321912</x:v>
      </x:c>
      <x:c r="M8" s="200" t="n">
        <x:f>'14 Part 1 Build'!M41</x:f>
        <x:v>-22430.937884578016</x:v>
      </x:c>
      <x:c r="N8" s="200" t="n">
        <x:f>'14 Part 1 Build'!N41</x:f>
        <x:v>-16660.42195007316</x:v>
      </x:c>
      <x:c r="O8" s="200" t="n">
        <x:f>'14 Part 1 Build'!O41</x:f>
        <x:v>-14188.87233629121</x:v>
      </x:c>
      <x:c r="P8" s="200" t="n">
        <x:f>SUM(D8:O8)</x:f>
        <x:v>-181800.95826804332</x:v>
      </x:c>
    </x:row>
    <x:row r="9">
      <x:c r="B9" s="176" t="str">
        <x:v>Part 1 operating expenses</x:v>
      </x:c>
      <x:c r="C9" s="176" t="str">
        <x:v>14 Part 1 Build</x:v>
      </x:c>
      <x:c r="D9" s="200" t="n">
        <x:f>'14 Part 1 Build'!D57</x:f>
        <x:v>-24875</x:v>
      </x:c>
      <x:c r="E9" s="200" t="n">
        <x:f>'14 Part 1 Build'!E57</x:f>
        <x:v>-24375</x:v>
      </x:c>
      <x:c r="F9" s="200" t="n">
        <x:f>'14 Part 1 Build'!F57</x:f>
        <x:v>-22125</x:v>
      </x:c>
      <x:c r="G9" s="200" t="n">
        <x:f>'14 Part 1 Build'!G57</x:f>
        <x:v>-21625</x:v>
      </x:c>
      <x:c r="H9" s="200" t="n">
        <x:f>'14 Part 1 Build'!H57</x:f>
        <x:v>-23791.666666666668</x:v>
      </x:c>
      <x:c r="I9" s="200" t="n">
        <x:f>'14 Part 1 Build'!I57</x:f>
        <x:v>-23291.666666666668</x:v>
      </x:c>
      <x:c r="J9" s="200" t="n">
        <x:f>'14 Part 1 Build'!J57</x:f>
        <x:v>-21791.666666666668</x:v>
      </x:c>
      <x:c r="K9" s="200" t="n">
        <x:f>'14 Part 1 Build'!K57</x:f>
        <x:v>-22791.666666666668</x:v>
      </x:c>
      <x:c r="L9" s="200" t="n">
        <x:f>'14 Part 1 Build'!L57</x:f>
        <x:v>-25291.666666666668</x:v>
      </x:c>
      <x:c r="M9" s="200" t="n">
        <x:f>'14 Part 1 Build'!M57</x:f>
        <x:v>-25791.666666666668</x:v>
      </x:c>
      <x:c r="N9" s="200" t="n">
        <x:f>'14 Part 1 Build'!N57</x:f>
        <x:v>-24791.666666666668</x:v>
      </x:c>
      <x:c r="O9" s="200" t="n">
        <x:f>'14 Part 1 Build'!O57</x:f>
        <x:v>-23291.666666666668</x:v>
      </x:c>
      <x:c r="P9" s="200" t="n">
        <x:f>SUM(D9:O9)</x:f>
        <x:v>-283833.3333333333</x:v>
      </x:c>
    </x:row>
    <x:row r="10">
      <x:c r="B10" s="176"/>
      <x:c r="C10" s="176"/>
      <x:c r="D10" s="177"/>
      <x:c r="E10" s="177"/>
      <x:c r="F10" s="177"/>
      <x:c r="G10" s="177"/>
      <x:c r="H10" s="177"/>
      <x:c r="I10" s="177"/>
      <x:c r="J10" s="177"/>
      <x:c r="K10" s="177"/>
      <x:c r="L10" s="177"/>
      <x:c r="M10" s="177"/>
      <x:c r="N10" s="177"/>
      <x:c r="O10" s="177"/>
      <x:c r="P10" s="177"/>
    </x:row>
    <x:row r="11">
      <x:c r="B11" s="189" t="str">
        <x:v>Decision 1 Client continuity contract</x:v>
      </x:c>
      <x:c r="C11" s="190"/>
      <x:c r="D11" s="191"/>
      <x:c r="E11" s="191"/>
      <x:c r="F11" s="191"/>
      <x:c r="G11" s="191"/>
      <x:c r="H11" s="191"/>
      <x:c r="I11" s="191"/>
      <x:c r="J11" s="191"/>
      <x:c r="K11" s="191"/>
      <x:c r="L11" s="191"/>
      <x:c r="M11" s="191"/>
      <x:c r="N11" s="191"/>
      <x:c r="O11" s="191"/>
      <x:c r="P11" s="192"/>
    </x:row>
    <x:row r="12">
      <x:c r="B12" s="176" t="str">
        <x:v>Anna 2025 revenue</x:v>
      </x:c>
      <x:c r="C12" s="176" t="str">
        <x:v>02 Prior Year Sales rows 7 to 9</x:v>
      </x:c>
      <x:c r="D12" s="200" t="n">
        <x:f>SUM('02 Prior Year Sales'!D7:D9)</x:f>
        <x:v>15500</x:v>
      </x:c>
      <x:c r="E12" s="200" t="n">
        <x:f>SUM('02 Prior Year Sales'!E7:E9)</x:f>
        <x:v>11500</x:v>
      </x:c>
      <x:c r="F12" s="200" t="n">
        <x:f>SUM('02 Prior Year Sales'!F7:F9)</x:f>
        <x:v>16500</x:v>
      </x:c>
      <x:c r="G12" s="200" t="n">
        <x:f>SUM('02 Prior Year Sales'!G7:G9)</x:f>
        <x:v>19500</x:v>
      </x:c>
      <x:c r="H12" s="200" t="n">
        <x:f>SUM('02 Prior Year Sales'!H7:H9)</x:f>
        <x:v>11500</x:v>
      </x:c>
      <x:c r="I12" s="200" t="n">
        <x:f>SUM('02 Prior Year Sales'!I7:I9)</x:f>
        <x:v>8500</x:v>
      </x:c>
      <x:c r="J12" s="200" t="n">
        <x:f>SUM('02 Prior Year Sales'!J7:J9)</x:f>
        <x:v>3000</x:v>
      </x:c>
      <x:c r="K12" s="200" t="n">
        <x:f>SUM('02 Prior Year Sales'!K7:K9)</x:f>
        <x:v>8500</x:v>
      </x:c>
      <x:c r="L12" s="200" t="n">
        <x:f>SUM('02 Prior Year Sales'!L7:L9)</x:f>
        <x:v>17000</x:v>
      </x:c>
      <x:c r="M12" s="200" t="n">
        <x:f>SUM('02 Prior Year Sales'!M7:M9)</x:f>
        <x:v>22500</x:v>
      </x:c>
      <x:c r="N12" s="200" t="n">
        <x:f>SUM('02 Prior Year Sales'!N7:N9)</x:f>
        <x:v>9000</x:v>
      </x:c>
      <x:c r="O12" s="200" t="n">
        <x:f>SUM('02 Prior Year Sales'!O7:O9)</x:f>
        <x:v>11500</x:v>
      </x:c>
      <x:c r="P12" s="200" t="n">
        <x:f>SUM(D12:O12)</x:f>
        <x:v>154500</x:v>
      </x:c>
    </x:row>
    <x:row r="13">
      <x:c r="B13" s="176" t="str">
        <x:v>Contractor recovery rate</x:v>
      </x:c>
      <x:c r="C13" s="176" t="str">
        <x:v>60% of 2025 same-month revenue from May delivery onward</x:v>
      </x:c>
      <x:c r="D13" s="205" t="n">
        <x:v>0</x:v>
      </x:c>
      <x:c r="E13" s="205" t="n">
        <x:v>0</x:v>
      </x:c>
      <x:c r="F13" s="205" t="n">
        <x:v>0</x:v>
      </x:c>
      <x:c r="G13" s="205" t="n">
        <x:v>0</x:v>
      </x:c>
      <x:c r="H13" s="205" t="n">
        <x:v>0.6</x:v>
      </x:c>
      <x:c r="I13" s="205" t="n">
        <x:v>0.6</x:v>
      </x:c>
      <x:c r="J13" s="205" t="n">
        <x:v>0.6</x:v>
      </x:c>
      <x:c r="K13" s="205" t="n">
        <x:v>0.6</x:v>
      </x:c>
      <x:c r="L13" s="205" t="n">
        <x:v>0.6</x:v>
      </x:c>
      <x:c r="M13" s="205" t="n">
        <x:v>0.6</x:v>
      </x:c>
      <x:c r="N13" s="205" t="n">
        <x:v>0.6</x:v>
      </x:c>
      <x:c r="O13" s="205" t="n">
        <x:v>0.6</x:v>
      </x:c>
      <x:c r="P13" s="204" t="n">
        <x:f>AVERAGE(H13:O13)</x:f>
        <x:v>0.6</x:v>
      </x:c>
    </x:row>
    <x:row r="14">
      <x:c r="B14" s="176" t="str">
        <x:v>Incremental contractor revenue</x:v>
      </x:c>
      <x:c r="C14" s="176" t="str">
        <x:v>Anna 2025 revenue x recovery rate</x:v>
      </x:c>
      <x:c r="D14" s="201" t="n">
        <x:f>D12*D13</x:f>
        <x:v>0</x:v>
      </x:c>
      <x:c r="E14" s="201" t="n">
        <x:f>E12*E13</x:f>
        <x:v>0</x:v>
      </x:c>
      <x:c r="F14" s="201" t="n">
        <x:f>F12*F13</x:f>
        <x:v>0</x:v>
      </x:c>
      <x:c r="G14" s="201" t="n">
        <x:f>G12*G13</x:f>
        <x:v>0</x:v>
      </x:c>
      <x:c r="H14" s="201" t="n">
        <x:f>H12*H13</x:f>
        <x:v>6900</x:v>
      </x:c>
      <x:c r="I14" s="201" t="n">
        <x:f>I12*I13</x:f>
        <x:v>5100</x:v>
      </x:c>
      <x:c r="J14" s="201" t="n">
        <x:f>J12*J13</x:f>
        <x:v>1800</x:v>
      </x:c>
      <x:c r="K14" s="201" t="n">
        <x:f>K12*K13</x:f>
        <x:v>5100</x:v>
      </x:c>
      <x:c r="L14" s="201" t="n">
        <x:f>L12*L13</x:f>
        <x:v>10200</x:v>
      </x:c>
      <x:c r="M14" s="201" t="n">
        <x:f>M12*M13</x:f>
        <x:v>13500</x:v>
      </x:c>
      <x:c r="N14" s="201" t="n">
        <x:f>N12*N13</x:f>
        <x:v>5400</x:v>
      </x:c>
      <x:c r="O14" s="201" t="n">
        <x:f>O12*O13</x:f>
        <x:v>6900</x:v>
      </x:c>
      <x:c r="P14" s="201" t="n">
        <x:f>SUM(D14:O14)</x:f>
        <x:v>54900</x:v>
      </x:c>
    </x:row>
    <x:row r="15">
      <x:c r="B15" s="176" t="str">
        <x:v>Contractor commission rate</x:v>
      </x:c>
      <x:c r="C15" s="176" t="str">
        <x:v>10% of attributed delivered revenue</x:v>
      </x:c>
      <x:c r="D15" s="205" t="n">
        <x:v>0.1</x:v>
      </x:c>
      <x:c r="E15" s="205" t="n">
        <x:v>0.1</x:v>
      </x:c>
      <x:c r="F15" s="205" t="n">
        <x:v>0.1</x:v>
      </x:c>
      <x:c r="G15" s="205" t="n">
        <x:v>0.1</x:v>
      </x:c>
      <x:c r="H15" s="205" t="n">
        <x:v>0.1</x:v>
      </x:c>
      <x:c r="I15" s="205" t="n">
        <x:v>0.1</x:v>
      </x:c>
      <x:c r="J15" s="205" t="n">
        <x:v>0.1</x:v>
      </x:c>
      <x:c r="K15" s="205" t="n">
        <x:v>0.1</x:v>
      </x:c>
      <x:c r="L15" s="205" t="n">
        <x:v>0.1</x:v>
      </x:c>
      <x:c r="M15" s="205" t="n">
        <x:v>0.1</x:v>
      </x:c>
      <x:c r="N15" s="205" t="n">
        <x:v>0.1</x:v>
      </x:c>
      <x:c r="O15" s="205" t="n">
        <x:v>0.1</x:v>
      </x:c>
      <x:c r="P15" s="204" t="n">
        <x:f>AVERAGE(D15:O15)</x:f>
        <x:v>0.09999999999999999</x:v>
      </x:c>
    </x:row>
    <x:row r="16">
      <x:c r="B16" s="176" t="str">
        <x:v>Commission embedded in base cost</x:v>
      </x:c>
      <x:c r="C16" s="176" t="str">
        <x:v>Registered program plan uses 5% sales commission</x:v>
      </x:c>
      <x:c r="D16" s="205" t="n">
        <x:v>0.05</x:v>
      </x:c>
      <x:c r="E16" s="205" t="n">
        <x:v>0.05</x:v>
      </x:c>
      <x:c r="F16" s="205" t="n">
        <x:v>0.05</x:v>
      </x:c>
      <x:c r="G16" s="205" t="n">
        <x:v>0.05</x:v>
      </x:c>
      <x:c r="H16" s="205" t="n">
        <x:v>0.05</x:v>
      </x:c>
      <x:c r="I16" s="205" t="n">
        <x:v>0.05</x:v>
      </x:c>
      <x:c r="J16" s="205" t="n">
        <x:v>0.05</x:v>
      </x:c>
      <x:c r="K16" s="205" t="n">
        <x:v>0.05</x:v>
      </x:c>
      <x:c r="L16" s="205" t="n">
        <x:v>0.05</x:v>
      </x:c>
      <x:c r="M16" s="205" t="n">
        <x:v>0.05</x:v>
      </x:c>
      <x:c r="N16" s="205" t="n">
        <x:v>0.05</x:v>
      </x:c>
      <x:c r="O16" s="205" t="n">
        <x:v>0.05</x:v>
      </x:c>
      <x:c r="P16" s="204" t="n">
        <x:f>AVERAGE(D16:O16)</x:f>
        <x:v>0.049999999999999996</x:v>
      </x:c>
    </x:row>
    <x:row r="17">
      <x:c r="B17" s="176" t="str">
        <x:v>Incremental commission premium</x:v>
      </x:c>
      <x:c r="C17" s="176" t="str">
        <x:v>Only the 5 percentage-point premium is added to the base direct-cost rate</x:v>
      </x:c>
      <x:c r="D17" s="201" t="n">
        <x:f>-D14*(D15-D16)</x:f>
        <x:v>0</x:v>
      </x:c>
      <x:c r="E17" s="201" t="n">
        <x:f>-E14*(E15-E16)</x:f>
        <x:v>0</x:v>
      </x:c>
      <x:c r="F17" s="201" t="n">
        <x:f>-F14*(F15-F16)</x:f>
        <x:v>0</x:v>
      </x:c>
      <x:c r="G17" s="201" t="n">
        <x:f>-G14*(G15-G16)</x:f>
        <x:v>0</x:v>
      </x:c>
      <x:c r="H17" s="201" t="n">
        <x:f>-H14*(H15-H16)</x:f>
        <x:v>-345</x:v>
      </x:c>
      <x:c r="I17" s="201" t="n">
        <x:f>-I14*(I15-I16)</x:f>
        <x:v>-255</x:v>
      </x:c>
      <x:c r="J17" s="201" t="n">
        <x:f>-J14*(J15-J16)</x:f>
        <x:v>-90</x:v>
      </x:c>
      <x:c r="K17" s="201" t="n">
        <x:f>-K14*(K15-K16)</x:f>
        <x:v>-255</x:v>
      </x:c>
      <x:c r="L17" s="201" t="n">
        <x:f>-L14*(L15-L16)</x:f>
        <x:v>-510</x:v>
      </x:c>
      <x:c r="M17" s="201" t="n">
        <x:f>-M14*(M15-M16)</x:f>
        <x:v>-675</x:v>
      </x:c>
      <x:c r="N17" s="201" t="n">
        <x:f>-N14*(N15-N16)</x:f>
        <x:v>-270</x:v>
      </x:c>
      <x:c r="O17" s="201" t="n">
        <x:f>-O14*(O15-O16)</x:f>
        <x:v>-345</x:v>
      </x:c>
      <x:c r="P17" s="201" t="n">
        <x:f>SUM(D17:O17)</x:f>
        <x:v>-2745</x:v>
      </x:c>
    </x:row>
    <x:row r="18">
      <x:c r="B18" s="176" t="str">
        <x:v>Incremental delivery cost</x:v>
      </x:c>
      <x:c r="C18" s="176" t="str">
        <x:v>Historical monthly direct-cost rate with Jul supplier-rate uplift</x:v>
      </x:c>
      <x:c r="D18" s="200" t="n">
        <x:f>-D14*'14 Part 1 Build'!D38*'14 Part 1 Build'!D40</x:f>
        <x:v>0</x:v>
      </x:c>
      <x:c r="E18" s="200" t="n">
        <x:f>-E14*'14 Part 1 Build'!E38*'14 Part 1 Build'!E40</x:f>
        <x:v>0</x:v>
      </x:c>
      <x:c r="F18" s="200" t="n">
        <x:f>-F14*'14 Part 1 Build'!F38*'14 Part 1 Build'!F40</x:f>
        <x:v>0</x:v>
      </x:c>
      <x:c r="G18" s="200" t="n">
        <x:f>-G14*'14 Part 1 Build'!G38*'14 Part 1 Build'!G40</x:f>
        <x:v>0</x:v>
      </x:c>
      <x:c r="H18" s="200" t="n">
        <x:f>-H14*'14 Part 1 Build'!H38*'14 Part 1 Build'!H40</x:f>
        <x:v>-2829</x:v>
      </x:c>
      <x:c r="I18" s="200" t="n">
        <x:f>-I14*'14 Part 1 Build'!I38*'14 Part 1 Build'!I40</x:f>
        <x:v>-2040</x:v>
      </x:c>
      <x:c r="J18" s="200" t="n">
        <x:f>-J14*'14 Part 1 Build'!J38*'14 Part 1 Build'!J40</x:f>
        <x:v>-807.5137638448085</x:v>
      </x:c>
      <x:c r="K18" s="200" t="n">
        <x:f>-K14*'14 Part 1 Build'!K38*'14 Part 1 Build'!K40</x:f>
        <x:v>-2234.7473929658654</x:v>
      </x:c>
      <x:c r="L18" s="200" t="n">
        <x:f>-L14*'14 Part 1 Build'!L38*'14 Part 1 Build'!L40</x:f>
        <x:v>-4150.245158365179</x:v>
      </x:c>
      <x:c r="M18" s="200" t="n">
        <x:f>-M14*'14 Part 1 Build'!M38*'14 Part 1 Build'!M40</x:f>
        <x:v>-5633.816957056804</x:v>
      </x:c>
      <x:c r="N18" s="200" t="n">
        <x:f>-N14*'14 Part 1 Build'!N38*'14 Part 1 Build'!N40</x:f>
        <x:v>-2309.8649523932895</x:v>
      </x:c>
      <x:c r="O18" s="200" t="n">
        <x:f>-O14*'14 Part 1 Build'!O38*'14 Part 1 Build'!O40</x:f>
        <x:v>-2879.506444717922</x:v>
      </x:c>
      <x:c r="P18" s="200" t="n">
        <x:f>SUM(D18:O18)</x:f>
        <x:v>-22884.69466934387</x:v>
      </x:c>
    </x:row>
    <x:row r="19">
      <x:c r="B19" s="176" t="str">
        <x:v>Anna open-revenue mix</x:v>
      </x:c>
      <x:c r="C19" s="176" t="str">
        <x:v>2025 Anna open-seat revenue divided by total Anna revenue</x:v>
      </x:c>
      <x:c r="D19" s="206" t="n">
        <x:f>'02 Prior Year Sales'!$P$9/SUM('02 Prior Year Sales'!$P$7:$P$9)</x:f>
        <x:v>0.11326860841423948</x:v>
      </x:c>
      <x:c r="E19" s="206" t="n">
        <x:f>'02 Prior Year Sales'!$P$9/SUM('02 Prior Year Sales'!$P$7:$P$9)</x:f>
        <x:v>0.11326860841423948</x:v>
      </x:c>
      <x:c r="F19" s="206" t="n">
        <x:f>'02 Prior Year Sales'!$P$9/SUM('02 Prior Year Sales'!$P$7:$P$9)</x:f>
        <x:v>0.11326860841423948</x:v>
      </x:c>
      <x:c r="G19" s="206" t="n">
        <x:f>'02 Prior Year Sales'!$P$9/SUM('02 Prior Year Sales'!$P$7:$P$9)</x:f>
        <x:v>0.11326860841423948</x:v>
      </x:c>
      <x:c r="H19" s="206" t="n">
        <x:f>'02 Prior Year Sales'!$P$9/SUM('02 Prior Year Sales'!$P$7:$P$9)</x:f>
        <x:v>0.11326860841423948</x:v>
      </x:c>
      <x:c r="I19" s="206" t="n">
        <x:f>'02 Prior Year Sales'!$P$9/SUM('02 Prior Year Sales'!$P$7:$P$9)</x:f>
        <x:v>0.11326860841423948</x:v>
      </x:c>
      <x:c r="J19" s="206" t="n">
        <x:f>'02 Prior Year Sales'!$P$9/SUM('02 Prior Year Sales'!$P$7:$P$9)</x:f>
        <x:v>0.11326860841423948</x:v>
      </x:c>
      <x:c r="K19" s="206" t="n">
        <x:f>'02 Prior Year Sales'!$P$9/SUM('02 Prior Year Sales'!$P$7:$P$9)</x:f>
        <x:v>0.11326860841423948</x:v>
      </x:c>
      <x:c r="L19" s="206" t="n">
        <x:f>'02 Prior Year Sales'!$P$9/SUM('02 Prior Year Sales'!$P$7:$P$9)</x:f>
        <x:v>0.11326860841423948</x:v>
      </x:c>
      <x:c r="M19" s="206" t="n">
        <x:f>'02 Prior Year Sales'!$P$9/SUM('02 Prior Year Sales'!$P$7:$P$9)</x:f>
        <x:v>0.11326860841423948</x:v>
      </x:c>
      <x:c r="N19" s="206" t="n">
        <x:f>'02 Prior Year Sales'!$P$9/SUM('02 Prior Year Sales'!$P$7:$P$9)</x:f>
        <x:v>0.11326860841423948</x:v>
      </x:c>
      <x:c r="O19" s="206" t="n">
        <x:f>'02 Prior Year Sales'!$P$9/SUM('02 Prior Year Sales'!$P$7:$P$9)</x:f>
        <x:v>0.11326860841423948</x:v>
      </x:c>
      <x:c r="P19" s="206" t="n">
        <x:f>AVERAGE(D19:O19)</x:f>
        <x:v>0.11326860841423951</x:v>
      </x:c>
    </x:row>
    <x:row r="20">
      <x:c r="B20" s="176" t="str">
        <x:v>Incremental open-seat revenue</x:v>
      </x:c>
      <x:c r="C20" s="176" t="str">
        <x:v>Contractor revenue x Anna historical open-revenue mix</x:v>
      </x:c>
      <x:c r="D20" s="201" t="n">
        <x:f>D14*D19</x:f>
        <x:v>0</x:v>
      </x:c>
      <x:c r="E20" s="201" t="n">
        <x:f>E14*E19</x:f>
        <x:v>0</x:v>
      </x:c>
      <x:c r="F20" s="201" t="n">
        <x:f>F14*F19</x:f>
        <x:v>0</x:v>
      </x:c>
      <x:c r="G20" s="201" t="n">
        <x:f>G14*G19</x:f>
        <x:v>0</x:v>
      </x:c>
      <x:c r="H20" s="201" t="n">
        <x:f>H14*H19</x:f>
        <x:v>781.5533980582525</x:v>
      </x:c>
      <x:c r="I20" s="201" t="n">
        <x:f>I14*I19</x:f>
        <x:v>577.6699029126214</x:v>
      </x:c>
      <x:c r="J20" s="201" t="n">
        <x:f>J14*J19</x:f>
        <x:v>203.88349514563106</x:v>
      </x:c>
      <x:c r="K20" s="201" t="n">
        <x:f>K14*K19</x:f>
        <x:v>577.6699029126214</x:v>
      </x:c>
      <x:c r="L20" s="201" t="n">
        <x:f>L14*L19</x:f>
        <x:v>1155.3398058252428</x:v>
      </x:c>
      <x:c r="M20" s="201" t="n">
        <x:f>M14*M19</x:f>
        <x:v>1529.126213592233</x:v>
      </x:c>
      <x:c r="N20" s="201" t="n">
        <x:f>N14*N19</x:f>
        <x:v>611.6504854368932</x:v>
      </x:c>
      <x:c r="O20" s="201" t="n">
        <x:f>O14*O19</x:f>
        <x:v>781.5533980582525</x:v>
      </x:c>
      <x:c r="P20" s="201" t="n">
        <x:f>SUM(D20:O20)</x:f>
        <x:v>6218.446601941748</x:v>
      </x:c>
    </x:row>
    <x:row r="21">
      <x:c r="B21" s="176"/>
      <x:c r="C21" s="176"/>
      <x:c r="D21" s="177"/>
      <x:c r="E21" s="177"/>
      <x:c r="F21" s="177"/>
      <x:c r="G21" s="177"/>
      <x:c r="H21" s="177"/>
      <x:c r="I21" s="177"/>
      <x:c r="J21" s="177"/>
      <x:c r="K21" s="177"/>
      <x:c r="L21" s="177"/>
      <x:c r="M21" s="177"/>
      <x:c r="N21" s="177"/>
      <x:c r="O21" s="177"/>
      <x:c r="P21" s="177"/>
    </x:row>
    <x:row r="22">
      <x:c r="B22" s="189" t="str">
        <x:v>Decision 2 Earlier demand generation</x:v>
      </x:c>
      <x:c r="C22" s="190"/>
      <x:c r="D22" s="191"/>
      <x:c r="E22" s="191"/>
      <x:c r="F22" s="191"/>
      <x:c r="G22" s="191"/>
      <x:c r="H22" s="191"/>
      <x:c r="I22" s="191"/>
      <x:c r="J22" s="191"/>
      <x:c r="K22" s="191"/>
      <x:c r="L22" s="191"/>
      <x:c r="M22" s="191"/>
      <x:c r="N22" s="191"/>
      <x:c r="O22" s="191"/>
      <x:c r="P22" s="192"/>
    </x:row>
    <x:row r="23">
      <x:c r="B23" s="176" t="str">
        <x:v>Extra marketing spend</x:v>
      </x:c>
      <x:c r="C23" s="176" t="str">
        <x:v>€1,500 per month Mar-Jun; existing campaign calendar remains</x:v>
      </x:c>
      <x:c r="D23" s="203" t="n">
        <x:v>0</x:v>
      </x:c>
      <x:c r="E23" s="203" t="n">
        <x:v>0</x:v>
      </x:c>
      <x:c r="F23" s="203" t="n">
        <x:v>1500</x:v>
      </x:c>
      <x:c r="G23" s="203" t="n">
        <x:v>1500</x:v>
      </x:c>
      <x:c r="H23" s="203" t="n">
        <x:v>1500</x:v>
      </x:c>
      <x:c r="I23" s="203" t="n">
        <x:v>1500</x:v>
      </x:c>
      <x:c r="J23" s="203" t="n">
        <x:v>0</x:v>
      </x:c>
      <x:c r="K23" s="203" t="n">
        <x:v>0</x:v>
      </x:c>
      <x:c r="L23" s="203" t="n">
        <x:v>0</x:v>
      </x:c>
      <x:c r="M23" s="203" t="n">
        <x:v>0</x:v>
      </x:c>
      <x:c r="N23" s="203" t="n">
        <x:v>0</x:v>
      </x:c>
      <x:c r="O23" s="203" t="n">
        <x:v>0</x:v>
      </x:c>
      <x:c r="P23" s="201" t="n">
        <x:f>SUM(D23:O23)</x:f>
        <x:v>6000</x:v>
      </x:c>
    </x:row>
    <x:row r="24">
      <x:c r="B24" s="176" t="str">
        <x:v>Historical marketing cost per corporate win</x:v>
      </x:c>
      <x:c r="C24" s="176" t="str">
        <x:v>2025 marketing spend divided by corporate deals won</x:v>
      </x:c>
      <x:c r="D24" s="200" t="n">
        <x:f>'03 Prior Year Marketing'!$P$7/'03 Prior Year Marketing'!$P$10</x:f>
        <x:v>1129.3103448275863</x:v>
      </x:c>
      <x:c r="E24" s="200" t="n">
        <x:f>'03 Prior Year Marketing'!$P$7/'03 Prior Year Marketing'!$P$10</x:f>
        <x:v>1129.3103448275863</x:v>
      </x:c>
      <x:c r="F24" s="200" t="n">
        <x:f>'03 Prior Year Marketing'!$P$7/'03 Prior Year Marketing'!$P$10</x:f>
        <x:v>1129.3103448275863</x:v>
      </x:c>
      <x:c r="G24" s="200" t="n">
        <x:f>'03 Prior Year Marketing'!$P$7/'03 Prior Year Marketing'!$P$10</x:f>
        <x:v>1129.3103448275863</x:v>
      </x:c>
      <x:c r="H24" s="200" t="n">
        <x:f>'03 Prior Year Marketing'!$P$7/'03 Prior Year Marketing'!$P$10</x:f>
        <x:v>1129.3103448275863</x:v>
      </x:c>
      <x:c r="I24" s="200" t="n">
        <x:f>'03 Prior Year Marketing'!$P$7/'03 Prior Year Marketing'!$P$10</x:f>
        <x:v>1129.3103448275863</x:v>
      </x:c>
      <x:c r="J24" s="200" t="n">
        <x:f>'03 Prior Year Marketing'!$P$7/'03 Prior Year Marketing'!$P$10</x:f>
        <x:v>1129.3103448275863</x:v>
      </x:c>
      <x:c r="K24" s="200" t="n">
        <x:f>'03 Prior Year Marketing'!$P$7/'03 Prior Year Marketing'!$P$10</x:f>
        <x:v>1129.3103448275863</x:v>
      </x:c>
      <x:c r="L24" s="200" t="n">
        <x:f>'03 Prior Year Marketing'!$P$7/'03 Prior Year Marketing'!$P$10</x:f>
        <x:v>1129.3103448275863</x:v>
      </x:c>
      <x:c r="M24" s="200" t="n">
        <x:f>'03 Prior Year Marketing'!$P$7/'03 Prior Year Marketing'!$P$10</x:f>
        <x:v>1129.3103448275863</x:v>
      </x:c>
      <x:c r="N24" s="200" t="n">
        <x:f>'03 Prior Year Marketing'!$P$7/'03 Prior Year Marketing'!$P$10</x:f>
        <x:v>1129.3103448275863</x:v>
      </x:c>
      <x:c r="O24" s="200" t="n">
        <x:f>'03 Prior Year Marketing'!$P$7/'03 Prior Year Marketing'!$P$10</x:f>
        <x:v>1129.3103448275863</x:v>
      </x:c>
      <x:c r="P24" s="200" t="n">
        <x:f>AVERAGE(D24:O24)</x:f>
        <x:v>1129.3103448275865</x:v>
      </x:c>
    </x:row>
    <x:row r="25">
      <x:c r="B25" s="176" t="str">
        <x:v>Expected extra corporate wins</x:v>
      </x:c>
      <x:c r="C25" s="176" t="str">
        <x:v>Five wins, matching the historical cost-per-win rate; delivery Aug-Nov</x:v>
      </x:c>
      <x:c r="D25" s="211" t="n">
        <x:v>0</x:v>
      </x:c>
      <x:c r="E25" s="211" t="n">
        <x:v>0</x:v>
      </x:c>
      <x:c r="F25" s="211" t="n">
        <x:v>0</x:v>
      </x:c>
      <x:c r="G25" s="211" t="n">
        <x:v>0</x:v>
      </x:c>
      <x:c r="H25" s="211" t="n">
        <x:v>0</x:v>
      </x:c>
      <x:c r="I25" s="211" t="n">
        <x:v>0</x:v>
      </x:c>
      <x:c r="J25" s="211" t="n">
        <x:v>0</x:v>
      </x:c>
      <x:c r="K25" s="211" t="n">
        <x:v>1</x:v>
      </x:c>
      <x:c r="L25" s="211" t="n">
        <x:v>1</x:v>
      </x:c>
      <x:c r="M25" s="211" t="n">
        <x:v>2</x:v>
      </x:c>
      <x:c r="N25" s="211" t="n">
        <x:v>1</x:v>
      </x:c>
      <x:c r="O25" s="211" t="n">
        <x:v>0</x:v>
      </x:c>
      <x:c r="P25" s="208" t="n">
        <x:f>SUM(D25:O25)</x:f>
        <x:v>5</x:v>
      </x:c>
    </x:row>
    <x:row r="26">
      <x:c r="B26" s="176" t="str">
        <x:v>Historical revenue per corporate win</x:v>
      </x:c>
      <x:c r="C26" s="176" t="str">
        <x:v>2025 corporate revenue divided by deals won</x:v>
      </x:c>
      <x:c r="D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E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F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G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H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I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J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K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L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M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N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O26" s="200" t="n">
        <x:f>('02 Prior Year Sales'!$P$7+'02 Prior Year Sales'!$P$8+'02 Prior Year Sales'!$P$10+'02 Prior Year Sales'!$P$11+'02 Prior Year Sales'!$P$13+'02 Prior Year Sales'!$P$14+'02 Prior Year Sales'!$P$16+'02 Prior Year Sales'!$P$17)/'03 Prior Year Marketing'!$P$10</x:f>
        <x:v>7189.6551724137935</x:v>
      </x:c>
      <x:c r="P26" s="200" t="n">
        <x:f>AVERAGE(D26:O26)</x:f>
        <x:v>7189.655172413796</x:v>
      </x:c>
    </x:row>
    <x:row r="27">
      <x:c r="B27" s="176" t="str">
        <x:v>Incremental campaign revenue</x:v>
      </x:c>
      <x:c r="C27" s="176" t="str">
        <x:v>Expected wins x historical revenue per corporate win</x:v>
      </x:c>
      <x:c r="D27" s="201" t="n">
        <x:f>D25*D26</x:f>
        <x:v>0</x:v>
      </x:c>
      <x:c r="E27" s="201" t="n">
        <x:f>E25*E26</x:f>
        <x:v>0</x:v>
      </x:c>
      <x:c r="F27" s="201" t="n">
        <x:f>F25*F26</x:f>
        <x:v>0</x:v>
      </x:c>
      <x:c r="G27" s="201" t="n">
        <x:f>G25*G26</x:f>
        <x:v>0</x:v>
      </x:c>
      <x:c r="H27" s="201" t="n">
        <x:f>H25*H26</x:f>
        <x:v>0</x:v>
      </x:c>
      <x:c r="I27" s="201" t="n">
        <x:f>I25*I26</x:f>
        <x:v>0</x:v>
      </x:c>
      <x:c r="J27" s="201" t="n">
        <x:f>J25*J26</x:f>
        <x:v>0</x:v>
      </x:c>
      <x:c r="K27" s="201" t="n">
        <x:f>K25*K26</x:f>
        <x:v>7189.6551724137935</x:v>
      </x:c>
      <x:c r="L27" s="201" t="n">
        <x:f>L25*L26</x:f>
        <x:v>7189.6551724137935</x:v>
      </x:c>
      <x:c r="M27" s="201" t="n">
        <x:f>M25*M26</x:f>
        <x:v>14379.310344827587</x:v>
      </x:c>
      <x:c r="N27" s="201" t="n">
        <x:f>N25*N26</x:f>
        <x:v>7189.6551724137935</x:v>
      </x:c>
      <x:c r="O27" s="201" t="n">
        <x:f>O25*O26</x:f>
        <x:v>0</x:v>
      </x:c>
      <x:c r="P27" s="201" t="n">
        <x:f>SUM(D27:O27)</x:f>
        <x:v>35948.27586206897</x:v>
      </x:c>
    </x:row>
    <x:row r="28">
      <x:c r="B28" s="176" t="str">
        <x:v>Incremental campaign delivery cost</x:v>
      </x:c>
      <x:c r="C28" s="176" t="str">
        <x:v>Historical monthly direct-cost rate with Jul supplier-rate uplift</x:v>
      </x:c>
      <x:c r="D28" s="201" t="n">
        <x:f>-D27*'14 Part 1 Build'!D38*'14 Part 1 Build'!D40</x:f>
        <x:v>0</x:v>
      </x:c>
      <x:c r="E28" s="201" t="n">
        <x:f>-E27*'14 Part 1 Build'!E38*'14 Part 1 Build'!E40</x:f>
        <x:v>0</x:v>
      </x:c>
      <x:c r="F28" s="201" t="n">
        <x:f>-F27*'14 Part 1 Build'!F38*'14 Part 1 Build'!F40</x:f>
        <x:v>0</x:v>
      </x:c>
      <x:c r="G28" s="201" t="n">
        <x:f>-G27*'14 Part 1 Build'!G38*'14 Part 1 Build'!G40</x:f>
        <x:v>0</x:v>
      </x:c>
      <x:c r="H28" s="201" t="n">
        <x:f>-H27*'14 Part 1 Build'!H38*'14 Part 1 Build'!H40</x:f>
        <x:v>0</x:v>
      </x:c>
      <x:c r="I28" s="201" t="n">
        <x:f>-I27*'14 Part 1 Build'!I38*'14 Part 1 Build'!I40</x:f>
        <x:v>0</x:v>
      </x:c>
      <x:c r="J28" s="201" t="n">
        <x:f>-J27*'14 Part 1 Build'!J38*'14 Part 1 Build'!J40</x:f>
        <x:v>0</x:v>
      </x:c>
      <x:c r="K28" s="201" t="n">
        <x:f>-K27*'14 Part 1 Build'!K38*'14 Part 1 Build'!K40</x:f>
        <x:v>-3150.4045397794657</x:v>
      </x:c>
      <x:c r="L28" s="201" t="n">
        <x:f>-L27*'14 Part 1 Build'!L38*'14 Part 1 Build'!L40</x:f>
        <x:v>-2925.3756440809325</x:v>
      </x:c>
      <x:c r="M28" s="201" t="n">
        <x:f>-M27*'14 Part 1 Build'!M38*'14 Part 1 Build'!M40</x:f>
        <x:v>-6000.770551960888</x:v>
      </x:c>
      <x:c r="N28" s="201" t="n">
        <x:f>-N27*'14 Part 1 Build'!N38*'14 Part 1 Build'!N40</x:f>
        <x:v>-3075.3949078799546</x:v>
      </x:c>
      <x:c r="O28" s="201" t="n">
        <x:f>-O27*'14 Part 1 Build'!O38*'14 Part 1 Build'!O40</x:f>
        <x:v>0</x:v>
      </x:c>
      <x:c r="P28" s="201" t="n">
        <x:f>SUM(D28:O28)</x:f>
        <x:v>-15151.94564370124</x:v>
      </x:c>
    </x:row>
    <x:row r="29">
      <x:c r="B29" s="176"/>
      <x:c r="C29" s="176"/>
      <x:c r="D29" s="177"/>
      <x:c r="E29" s="177"/>
      <x:c r="F29" s="177"/>
      <x:c r="G29" s="177"/>
      <x:c r="H29" s="177"/>
      <x:c r="I29" s="177"/>
      <x:c r="J29" s="177"/>
      <x:c r="K29" s="177"/>
      <x:c r="L29" s="177"/>
      <x:c r="M29" s="177"/>
      <x:c r="N29" s="177"/>
      <x:c r="O29" s="177"/>
      <x:c r="P29" s="177"/>
    </x:row>
    <x:row r="30">
      <x:c r="B30" s="189" t="str">
        <x:v>Decision 3 Internal instructor allocation</x:v>
      </x:c>
      <x:c r="C30" s="190"/>
      <x:c r="D30" s="191"/>
      <x:c r="E30" s="191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2"/>
    </x:row>
    <x:row r="31">
      <x:c r="B31" s="176" t="str">
        <x:v>Total trainer days</x:v>
      </x:c>
      <x:c r="C31" s="176" t="str">
        <x:v>Total Part 2 revenue x historical trainer-days-per-euro rate</x:v>
      </x:c>
      <x:c r="D31" s="210" t="n">
        <x:f>(D7+D14+D27)*'14 Part 1 Build'!D34</x:f>
        <x:v>8.904210028382213</x:v>
      </x:c>
      <x:c r="E31" s="210" t="n">
        <x:f>(E7+E14+E27)*'14 Part 1 Build'!E34</x:f>
        <x:v>10.319772942289498</x:v>
      </x:c>
      <x:c r="F31" s="210" t="n">
        <x:f>(F7+F14+F27)*'14 Part 1 Build'!F34</x:f>
        <x:v>5.584309730005095</x:v>
      </x:c>
      <x:c r="G31" s="210" t="n">
        <x:f>(G7+G14+G27)*'14 Part 1 Build'!G34</x:f>
        <x:v>8.299832617713413</x:v>
      </x:c>
      <x:c r="H31" s="210" t="n">
        <x:f>(H7+H14+H27)*'14 Part 1 Build'!H34</x:f>
        <x:v>7.525260170293283</x:v>
      </x:c>
      <x:c r="I31" s="210" t="n">
        <x:f>(I7+I14+I27)*'14 Part 1 Build'!I34</x:f>
        <x:v>5.438688505203406</x:v>
      </x:c>
      <x:c r="J31" s="210" t="n">
        <x:f>(J7+J14+J27)*'14 Part 1 Build'!J34</x:f>
        <x:v>3.085714285714286</x:v>
      </x:c>
      <x:c r="K31" s="210" t="n">
        <x:f>(K7+K14+K27)*'14 Part 1 Build'!K34</x:f>
        <x:v>8.948500962385411</x:v>
      </x:c>
      <x:c r="L31" s="210" t="n">
        <x:f>(L7+L14+L27)*'14 Part 1 Build'!L34</x:f>
        <x:v>14.615861416500833</x:v>
      </x:c>
      <x:c r="M31" s="210" t="n">
        <x:f>(M7+M14+M27)*'14 Part 1 Build'!M34</x:f>
        <x:v>16.681107885035726</x:v>
      </x:c>
      <x:c r="N31" s="210" t="n">
        <x:f>(N7+N14+N27)*'14 Part 1 Build'!N34</x:f>
        <x:v>10.531966503466847</x:v>
      </x:c>
      <x:c r="O31" s="210" t="n">
        <x:f>(O7+O14+O27)*'14 Part 1 Build'!O34</x:f>
        <x:v>8.357994323557238</x:v>
      </x:c>
      <x:c r="P31" s="210" t="n">
        <x:f>SUM(D31:O31)</x:f>
        <x:v>108.29321937054725</x:v>
      </x:c>
    </x:row>
    <x:row r="32">
      <x:c r="B32" s="176" t="str">
        <x:v>Internal trainer capacity</x:v>
      </x:c>
      <x:c r="C32" s="176" t="str">
        <x:v>Operations plan monthly delivery capacity</x:v>
      </x:c>
      <x:c r="D32" s="212" t="n">
        <x:v>12</x:v>
      </x:c>
      <x:c r="E32" s="212" t="n">
        <x:v>12</x:v>
      </x:c>
      <x:c r="F32" s="212" t="n">
        <x:v>12</x:v>
      </x:c>
      <x:c r="G32" s="212" t="n">
        <x:v>12</x:v>
      </x:c>
      <x:c r="H32" s="212" t="n">
        <x:v>12</x:v>
      </x:c>
      <x:c r="I32" s="212" t="n">
        <x:v>12</x:v>
      </x:c>
      <x:c r="J32" s="212" t="n">
        <x:v>6</x:v>
      </x:c>
      <x:c r="K32" s="212" t="n">
        <x:v>8</x:v>
      </x:c>
      <x:c r="L32" s="212" t="n">
        <x:v>14</x:v>
      </x:c>
      <x:c r="M32" s="212" t="n">
        <x:v>14</x:v>
      </x:c>
      <x:c r="N32" s="212" t="n">
        <x:v>12</x:v>
      </x:c>
      <x:c r="O32" s="212" t="n">
        <x:v>12</x:v>
      </x:c>
      <x:c r="P32" s="210" t="n">
        <x:f>SUM(D32:O32)</x:f>
        <x:v>138</x:v>
      </x:c>
    </x:row>
    <x:row r="33">
      <x:c r="B33" s="176" t="str">
        <x:v>Internal delivery share</x:v>
      </x:c>
      <x:c r="C33" s="176" t="str">
        <x:v>Use the internal instructor for 50% of delivery days from May</x:v>
      </x:c>
      <x:c r="D33" s="205" t="n">
        <x:v>0</x:v>
      </x:c>
      <x:c r="E33" s="205" t="n">
        <x:v>0</x:v>
      </x:c>
      <x:c r="F33" s="205" t="n">
        <x:v>0</x:v>
      </x:c>
      <x:c r="G33" s="205" t="n">
        <x:v>0</x:v>
      </x:c>
      <x:c r="H33" s="205" t="n">
        <x:v>0.5</x:v>
      </x:c>
      <x:c r="I33" s="205" t="n">
        <x:v>0.5</x:v>
      </x:c>
      <x:c r="J33" s="205" t="n">
        <x:v>0.5</x:v>
      </x:c>
      <x:c r="K33" s="205" t="n">
        <x:v>0.5</x:v>
      </x:c>
      <x:c r="L33" s="205" t="n">
        <x:v>0.5</x:v>
      </x:c>
      <x:c r="M33" s="205" t="n">
        <x:v>0.5</x:v>
      </x:c>
      <x:c r="N33" s="205" t="n">
        <x:v>0.5</x:v>
      </x:c>
      <x:c r="O33" s="205" t="n">
        <x:v>0.5</x:v>
      </x:c>
      <x:c r="P33" s="204" t="n">
        <x:f>AVERAGE(H33:O33)</x:f>
        <x:v>0.5</x:v>
      </x:c>
    </x:row>
    <x:row r="34">
      <x:c r="B34" s="176" t="str">
        <x:v>Internal trainer days</x:v>
      </x:c>
      <x:c r="C34" s="176" t="str">
        <x:v>Lower of target share and monthly internal capacity</x:v>
      </x:c>
      <x:c r="D34" s="210" t="n">
        <x:f>MIN(D31*D33,D32)</x:f>
        <x:v>0</x:v>
      </x:c>
      <x:c r="E34" s="210" t="n">
        <x:f>MIN(E31*E33,E32)</x:f>
        <x:v>0</x:v>
      </x:c>
      <x:c r="F34" s="210" t="n">
        <x:f>MIN(F31*F33,F32)</x:f>
        <x:v>0</x:v>
      </x:c>
      <x:c r="G34" s="210" t="n">
        <x:f>MIN(G31*G33,G32)</x:f>
        <x:v>0</x:v>
      </x:c>
      <x:c r="H34" s="210" t="n">
        <x:f>MIN(H31*H33,H32)</x:f>
        <x:v>3.7626300851466414</x:v>
      </x:c>
      <x:c r="I34" s="210" t="n">
        <x:f>MIN(I31*I33,I32)</x:f>
        <x:v>2.719344252601703</x:v>
      </x:c>
      <x:c r="J34" s="210" t="n">
        <x:f>MIN(J31*J33,J32)</x:f>
        <x:v>1.542857142857143</x:v>
      </x:c>
      <x:c r="K34" s="210" t="n">
        <x:f>MIN(K31*K33,K32)</x:f>
        <x:v>4.474250481192706</x:v>
      </x:c>
      <x:c r="L34" s="210" t="n">
        <x:f>MIN(L31*L33,L32)</x:f>
        <x:v>7.307930708250416</x:v>
      </x:c>
      <x:c r="M34" s="210" t="n">
        <x:f>MIN(M31*M33,M32)</x:f>
        <x:v>8.340553942517863</x:v>
      </x:c>
      <x:c r="N34" s="210" t="n">
        <x:f>MIN(N31*N33,N32)</x:f>
        <x:v>5.265983251733424</x:v>
      </x:c>
      <x:c r="O34" s="210" t="n">
        <x:f>MIN(O31*O33,O32)</x:f>
        <x:v>4.178997161778619</x:v>
      </x:c>
      <x:c r="P34" s="210" t="n">
        <x:f>SUM(D34:O34)</x:f>
        <x:v>37.59254702607851</x:v>
      </x:c>
    </x:row>
    <x:row r="35">
      <x:c r="B35" s="176" t="str">
        <x:v>External instructor daily rate</x:v>
      </x:c>
      <x:c r="C35" s="176" t="str">
        <x:v>€700 through Jun; €770 from Jul</x:v>
      </x:c>
      <x:c r="D35" s="203" t="n">
        <x:v>700</x:v>
      </x:c>
      <x:c r="E35" s="203" t="n">
        <x:v>700</x:v>
      </x:c>
      <x:c r="F35" s="203" t="n">
        <x:v>700</x:v>
      </x:c>
      <x:c r="G35" s="203" t="n">
        <x:v>700</x:v>
      </x:c>
      <x:c r="H35" s="203" t="n">
        <x:v>700</x:v>
      </x:c>
      <x:c r="I35" s="203" t="n">
        <x:v>700</x:v>
      </x:c>
      <x:c r="J35" s="203" t="n">
        <x:v>770</x:v>
      </x:c>
      <x:c r="K35" s="203" t="n">
        <x:v>770</x:v>
      </x:c>
      <x:c r="L35" s="203" t="n">
        <x:v>770</x:v>
      </x:c>
      <x:c r="M35" s="203" t="n">
        <x:v>770</x:v>
      </x:c>
      <x:c r="N35" s="203" t="n">
        <x:v>770</x:v>
      </x:c>
      <x:c r="O35" s="203" t="n">
        <x:v>770</x:v>
      </x:c>
      <x:c r="P35" s="201" t="n">
        <x:f>AVERAGE(D35:O35)</x:f>
        <x:v>735</x:v>
      </x:c>
    </x:row>
    <x:row r="36">
      <x:c r="B36" s="176" t="str">
        <x:v>Instructor cost saving</x:v>
      </x:c>
      <x:c r="C36" s="176" t="str">
        <x:v>Internal days x avoided external instructor rate</x:v>
      </x:c>
      <x:c r="D36" s="201" t="n">
        <x:f>D34*D35</x:f>
        <x:v>0</x:v>
      </x:c>
      <x:c r="E36" s="201" t="n">
        <x:f>E34*E35</x:f>
        <x:v>0</x:v>
      </x:c>
      <x:c r="F36" s="201" t="n">
        <x:f>F34*F35</x:f>
        <x:v>0</x:v>
      </x:c>
      <x:c r="G36" s="201" t="n">
        <x:f>G34*G35</x:f>
        <x:v>0</x:v>
      </x:c>
      <x:c r="H36" s="201" t="n">
        <x:f>H34*H35</x:f>
        <x:v>2633.841059602649</x:v>
      </x:c>
      <x:c r="I36" s="201" t="n">
        <x:f>I34*I35</x:f>
        <x:v>1903.540976821192</x:v>
      </x:c>
      <x:c r="J36" s="201" t="n">
        <x:f>J34*J35</x:f>
        <x:v>1188</x:v>
      </x:c>
      <x:c r="K36" s="201" t="n">
        <x:f>K34*K35</x:f>
        <x:v>3445.172870518383</x:v>
      </x:c>
      <x:c r="L36" s="201" t="n">
        <x:f>L34*L35</x:f>
        <x:v>5627.106645352821</x:v>
      </x:c>
      <x:c r="M36" s="201" t="n">
        <x:f>M34*M35</x:f>
        <x:v>6422.226535738754</x:v>
      </x:c>
      <x:c r="N36" s="201" t="n">
        <x:f>N34*N35</x:f>
        <x:v>4054.807103834736</x:v>
      </x:c>
      <x:c r="O36" s="201" t="n">
        <x:f>O34*O35</x:f>
        <x:v>3217.8278145695363</x:v>
      </x:c>
      <x:c r="P36" s="201" t="n">
        <x:f>SUM(D36:O36)</x:f>
        <x:v>28492.523006438074</x:v>
      </x:c>
    </x:row>
    <x:row r="37">
      <x:c r="B37" s="176"/>
      <x:c r="C37" s="176"/>
      <x:c r="D37" s="177"/>
      <x:c r="E37" s="177"/>
      <x:c r="F37" s="177"/>
      <x:c r="G37" s="177"/>
      <x:c r="H37" s="177"/>
      <x:c r="I37" s="177"/>
      <x:c r="J37" s="177"/>
      <x:c r="K37" s="177"/>
      <x:c r="L37" s="177"/>
      <x:c r="M37" s="177"/>
      <x:c r="N37" s="177"/>
      <x:c r="O37" s="177"/>
      <x:c r="P37" s="177"/>
    </x:row>
    <x:row r="38">
      <x:c r="B38" s="189" t="str">
        <x:v>Part 2 result</x:v>
      </x:c>
      <x:c r="C38" s="190"/>
      <x:c r="D38" s="191"/>
      <x:c r="E38" s="191"/>
      <x:c r="F38" s="191"/>
      <x:c r="G38" s="191"/>
      <x:c r="H38" s="191"/>
      <x:c r="I38" s="191"/>
      <x:c r="J38" s="191"/>
      <x:c r="K38" s="191"/>
      <x:c r="L38" s="191"/>
      <x:c r="M38" s="191"/>
      <x:c r="N38" s="191"/>
      <x:c r="O38" s="191"/>
      <x:c r="P38" s="192"/>
    </x:row>
    <x:row r="39">
      <x:c r="B39" s="197" t="str">
        <x:v>Part 2 revenue</x:v>
      </x:c>
      <x:c r="C39" s="197" t="str">
        <x:v>Part 1 plus contractor and campaign revenue</x:v>
      </x:c>
      <x:c r="D39" s="202" t="n">
        <x:f>D7+D14+D27</x:f>
        <x:v>43572.916666666664</x:v>
      </x:c>
      <x:c r="E39" s="202" t="n">
        <x:f>E7+E14+E27</x:f>
        <x:v>50500</x:v>
      </x:c>
      <x:c r="F39" s="202" t="n">
        <x:f>F7+F14+F27</x:f>
        <x:v>27326.923076923078</x:v>
      </x:c>
      <x:c r="G39" s="202" t="n">
        <x:f>G7+G14+G27</x:f>
        <x:v>40615.38461538462</x:v>
      </x:c>
      <x:c r="H39" s="202" t="n">
        <x:f>H7+H14+H27</x:f>
        <x:v>36825</x:v>
      </x:c>
      <x:c r="I39" s="202" t="n">
        <x:f>I7+I14+I27</x:f>
        <x:v>26614.322916666668</x:v>
      </x:c>
      <x:c r="J39" s="202" t="n">
        <x:f>J7+J14+J27</x:f>
        <x:v>15100</x:v>
      </x:c>
      <x:c r="K39" s="202" t="n">
        <x:f>K7+K14+K27</x:f>
        <x:v>43789.6551724138</x:v>
      </x:c>
      <x:c r="L39" s="202" t="n">
        <x:f>L7+L14+L27</x:f>
        <x:v>71522.98850574713</x:v>
      </x:c>
      <x:c r="M39" s="202" t="n">
        <x:f>M7+M14+M27</x:f>
        <x:v>81629.3103448276</x:v>
      </x:c>
      <x:c r="N39" s="202" t="n">
        <x:f>N7+N14+N27</x:f>
        <x:v>51538.37312113175</x:v>
      </x:c>
      <x:c r="O39" s="202" t="n">
        <x:f>O7+O14+O27</x:f>
        <x:v>40900</x:v>
      </x:c>
      <x:c r="P39" s="202" t="n">
        <x:f>SUM(D39:O39)</x:f>
        <x:v>529934.8744197612</x:v>
      </x:c>
    </x:row>
    <x:row r="40">
      <x:c r="B40" s="197" t="str">
        <x:v>Part 2 direct program costs</x:v>
      </x:c>
      <x:c r="C40" s="197" t="str">
        <x:v>Part 1 plus incremental delivery and commission costs, less internal-instructor saving</x:v>
      </x:c>
      <x:c r="D40" s="202" t="n">
        <x:f>D8+D17+D18+D28+D36</x:f>
        <x:v>-17429.166666666668</x:v>
      </x:c>
      <x:c r="E40" s="202" t="n">
        <x:f>E8+E17+E18+E28+E36</x:f>
        <x:v>-20705</x:v>
      </x:c>
      <x:c r="F40" s="202" t="n">
        <x:f>F8+F17+F18+F28+F36</x:f>
        <x:v>-10657.5</x:v>
      </x:c>
      <x:c r="G40" s="202" t="n">
        <x:f>G8+G17+G18+G28+G36</x:f>
        <x:v>-17058.46153846154</x:v>
      </x:c>
      <x:c r="H40" s="202" t="n">
        <x:f>H8+H17+H18+H28+H36</x:f>
        <x:v>-12809.408940397352</x:v>
      </x:c>
      <x:c r="I40" s="202" t="n">
        <x:f>I8+I17+I18+I28+I36</x:f>
        <x:v>-8997.188189845476</x:v>
      </x:c>
      <x:c r="J40" s="202" t="n">
        <x:f>J8+J17+J18+J28+J36</x:f>
        <x:v>-5676.143241142561</x:v>
      </x:c>
      <x:c r="K40" s="202" t="n">
        <x:f>K8+K17+K18+K28+K36</x:f>
        <x:v>-15997.830607016118</x:v>
      </x:c>
      <x:c r="L40" s="202" t="n">
        <x:f>L8+L17+L18+L28+L36</x:f>
        <x:v>-23984.65186031241</x:v>
      </x:c>
      <x:c r="M40" s="202" t="n">
        <x:f>M8+M17+M18+M28+M36</x:f>
        <x:v>-28318.298857856953</x:v>
      </x:c>
      <x:c r="N40" s="202" t="n">
        <x:f>N8+N17+N18+N28+N36</x:f>
        <x:v>-18260.87470651167</x:v>
      </x:c>
      <x:c r="O40" s="202" t="n">
        <x:f>O8+O17+O18+O28+O36</x:f>
        <x:v>-14195.550966439594</x:v>
      </x:c>
      <x:c r="P40" s="202" t="n">
        <x:f>SUM(D40:O40)</x:f>
        <x:v>-194090.07557465034</x:v>
      </x:c>
    </x:row>
    <x:row r="41">
      <x:c r="B41" s="197" t="str">
        <x:v>Part 2 operating expenses</x:v>
      </x:c>
      <x:c r="C41" s="197" t="str">
        <x:v>Part 1 plus extra marketing spend</x:v>
      </x:c>
      <x:c r="D41" s="202" t="n">
        <x:f>D9-D23</x:f>
        <x:v>-24875</x:v>
      </x:c>
      <x:c r="E41" s="202" t="n">
        <x:f>E9-E23</x:f>
        <x:v>-24375</x:v>
      </x:c>
      <x:c r="F41" s="202" t="n">
        <x:f>F9-F23</x:f>
        <x:v>-23625</x:v>
      </x:c>
      <x:c r="G41" s="202" t="n">
        <x:f>G9-G23</x:f>
        <x:v>-23125</x:v>
      </x:c>
      <x:c r="H41" s="202" t="n">
        <x:f>H9-H23</x:f>
        <x:v>-25291.666666666668</x:v>
      </x:c>
      <x:c r="I41" s="202" t="n">
        <x:f>I9-I23</x:f>
        <x:v>-24791.666666666668</x:v>
      </x:c>
      <x:c r="J41" s="202" t="n">
        <x:f>J9-J23</x:f>
        <x:v>-21791.666666666668</x:v>
      </x:c>
      <x:c r="K41" s="202" t="n">
        <x:f>K9-K23</x:f>
        <x:v>-22791.666666666668</x:v>
      </x:c>
      <x:c r="L41" s="202" t="n">
        <x:f>L9-L23</x:f>
        <x:v>-25291.666666666668</x:v>
      </x:c>
      <x:c r="M41" s="202" t="n">
        <x:f>M9-M23</x:f>
        <x:v>-25791.666666666668</x:v>
      </x:c>
      <x:c r="N41" s="202" t="n">
        <x:f>N9-N23</x:f>
        <x:v>-24791.666666666668</x:v>
      </x:c>
      <x:c r="O41" s="202" t="n">
        <x:f>O9-O23</x:f>
        <x:v>-23291.666666666668</x:v>
      </x:c>
      <x:c r="P41" s="202" t="n">
        <x:f>SUM(D41:O41)</x:f>
        <x:v>-289833.3333333333</x:v>
      </x:c>
    </x:row>
    <x:row r="42">
      <x:c r="B42" s="197" t="str">
        <x:v>Contribution</x:v>
      </x:c>
      <x:c r="C42" s="197" t="str">
        <x:v>Revenue plus direct program costs</x:v>
      </x:c>
      <x:c r="D42" s="202" t="n">
        <x:f>D39+D40</x:f>
        <x:v>26143.749999999996</x:v>
      </x:c>
      <x:c r="E42" s="202" t="n">
        <x:f>E39+E40</x:f>
        <x:v>29795</x:v>
      </x:c>
      <x:c r="F42" s="202" t="n">
        <x:f>F39+F40</x:f>
        <x:v>16669.423076923078</x:v>
      </x:c>
      <x:c r="G42" s="202" t="n">
        <x:f>G39+G40</x:f>
        <x:v>23556.923076923078</x:v>
      </x:c>
      <x:c r="H42" s="202" t="n">
        <x:f>H39+H40</x:f>
        <x:v>24015.591059602648</x:v>
      </x:c>
      <x:c r="I42" s="202" t="n">
        <x:f>I39+I40</x:f>
        <x:v>17617.13472682119</x:v>
      </x:c>
      <x:c r="J42" s="202" t="n">
        <x:f>J39+J40</x:f>
        <x:v>9423.856758857439</x:v>
      </x:c>
      <x:c r="K42" s="202" t="n">
        <x:f>K39+K40</x:f>
        <x:v>27791.824565397677</x:v>
      </x:c>
      <x:c r="L42" s="202" t="n">
        <x:f>L39+L40</x:f>
        <x:v>47538.33664543471</x:v>
      </x:c>
      <x:c r="M42" s="202" t="n">
        <x:f>M39+M40</x:f>
        <x:v>53311.011486970645</x:v>
      </x:c>
      <x:c r="N42" s="202" t="n">
        <x:f>N39+N40</x:f>
        <x:v>33277.49841462008</x:v>
      </x:c>
      <x:c r="O42" s="202" t="n">
        <x:f>O39+O40</x:f>
        <x:v>26704.449033560406</x:v>
      </x:c>
      <x:c r="P42" s="202" t="n">
        <x:f>SUM(D42:O42)</x:f>
        <x:v>335844.7988451109</x:v>
      </x:c>
    </x:row>
    <x:row r="43">
      <x:c r="B43" s="197" t="str">
        <x:v>Operating profit</x:v>
      </x:c>
      <x:c r="C43" s="197" t="str">
        <x:v>Contribution plus operating expenses, including interest</x:v>
      </x:c>
      <x:c r="D43" s="202" t="n">
        <x:f>D42+D41</x:f>
        <x:v>1268.7499999999964</x:v>
      </x:c>
      <x:c r="E43" s="202" t="n">
        <x:f>E42+E41</x:f>
        <x:v>5420</x:v>
      </x:c>
      <x:c r="F43" s="202" t="n">
        <x:f>F42+F41</x:f>
        <x:v>-6955.576923076922</x:v>
      </x:c>
      <x:c r="G43" s="202" t="n">
        <x:f>G42+G41</x:f>
        <x:v>431.92307692307804</x:v>
      </x:c>
      <x:c r="H43" s="202" t="n">
        <x:f>H42+H41</x:f>
        <x:v>-1276.07560706402</x:v>
      </x:c>
      <x:c r="I43" s="202" t="n">
        <x:f>I42+I41</x:f>
        <x:v>-7174.531939845478</x:v>
      </x:c>
      <x:c r="J43" s="202" t="n">
        <x:f>J42+J41</x:f>
        <x:v>-12367.80990780923</x:v>
      </x:c>
      <x:c r="K43" s="202" t="n">
        <x:f>K42+K41</x:f>
        <x:v>5000.1578987310095</x:v>
      </x:c>
      <x:c r="L43" s="202" t="n">
        <x:f>L42+L41</x:f>
        <x:v>22246.669978768045</x:v>
      </x:c>
      <x:c r="M43" s="202" t="n">
        <x:f>M42+M41</x:f>
        <x:v>27519.344820303977</x:v>
      </x:c>
      <x:c r="N43" s="202" t="n">
        <x:f>N42+N41</x:f>
        <x:v>8485.831747953413</x:v>
      </x:c>
      <x:c r="O43" s="202" t="n">
        <x:f>O42+O41</x:f>
        <x:v>3412.782366893738</x:v>
      </x:c>
      <x:c r="P43" s="202" t="n">
        <x:f>SUM(D43:O43)</x:f>
        <x:v>46011.46551177761</x:v>
      </x:c>
    </x:row>
    <x:row r="44">
      <x:c r="B44" s="176" t="str">
        <x:v>Trainer days required</x:v>
      </x:c>
      <x:c r="C44" s="176" t="str">
        <x:v>Total Part 2 trainer days</x:v>
      </x:c>
      <x:c r="D44" s="210" t="n">
        <x:f>D31</x:f>
        <x:v>8.904210028382213</x:v>
      </x:c>
      <x:c r="E44" s="210" t="n">
        <x:f>E31</x:f>
        <x:v>10.319772942289498</x:v>
      </x:c>
      <x:c r="F44" s="210" t="n">
        <x:f>F31</x:f>
        <x:v>5.584309730005095</x:v>
      </x:c>
      <x:c r="G44" s="210" t="n">
        <x:f>G31</x:f>
        <x:v>8.299832617713413</x:v>
      </x:c>
      <x:c r="H44" s="210" t="n">
        <x:f>H31</x:f>
        <x:v>7.525260170293283</x:v>
      </x:c>
      <x:c r="I44" s="210" t="n">
        <x:f>I31</x:f>
        <x:v>5.438688505203406</x:v>
      </x:c>
      <x:c r="J44" s="210" t="n">
        <x:f>J31</x:f>
        <x:v>3.085714285714286</x:v>
      </x:c>
      <x:c r="K44" s="210" t="n">
        <x:f>K31</x:f>
        <x:v>8.948500962385411</x:v>
      </x:c>
      <x:c r="L44" s="210" t="n">
        <x:f>L31</x:f>
        <x:v>14.615861416500833</x:v>
      </x:c>
      <x:c r="M44" s="210" t="n">
        <x:f>M31</x:f>
        <x:v>16.681107885035726</x:v>
      </x:c>
      <x:c r="N44" s="210" t="n">
        <x:f>N31</x:f>
        <x:v>10.531966503466847</x:v>
      </x:c>
      <x:c r="O44" s="210" t="n">
        <x:f>O31</x:f>
        <x:v>8.357994323557238</x:v>
      </x:c>
      <x:c r="P44" s="210" t="n">
        <x:f>SUM(D44:O44)</x:f>
        <x:v>108.29321937054725</x:v>
      </x:c>
    </x:row>
    <x:row r="45">
      <x:c r="B45" s="176" t="str">
        <x:v>Open seats sold</x:v>
      </x:c>
      <x:c r="C45" s="176" t="str">
        <x:v>Part 1 open-seat revenue plus contractor open-seat revenue</x:v>
      </x:c>
      <x:c r="D45" s="208" t="n">
        <x:f>ROUND(('14 Part 1 Build'!D31+D20)/'14 Part 1 Build'!D32,0)</x:f>
        <x:v>13</x:v>
      </x:c>
      <x:c r="E45" s="208" t="n">
        <x:f>ROUND(('14 Part 1 Build'!E31+E20)/'14 Part 1 Build'!E32,0)</x:f>
        <x:v>19</x:v>
      </x:c>
      <x:c r="F45" s="208" t="n">
        <x:f>ROUND(('14 Part 1 Build'!F31+F20)/'14 Part 1 Build'!F32,0)</x:f>
        <x:v>11</x:v>
      </x:c>
      <x:c r="G45" s="208" t="n">
        <x:f>ROUND(('14 Part 1 Build'!G31+G20)/'14 Part 1 Build'!G32,0)</x:f>
        <x:v>19</x:v>
      </x:c>
      <x:c r="H45" s="208" t="n">
        <x:f>ROUND(('14 Part 1 Build'!H31+H20)/'14 Part 1 Build'!H32,0)</x:f>
        <x:v>17</x:v>
      </x:c>
      <x:c r="I45" s="208" t="n">
        <x:f>ROUND(('14 Part 1 Build'!I31+I20)/'14 Part 1 Build'!I32,0)</x:f>
        <x:v>11</x:v>
      </x:c>
      <x:c r="J45" s="208" t="n">
        <x:f>ROUND(('14 Part 1 Build'!J31+J20)/'14 Part 1 Build'!J32,0)</x:f>
        <x:v>4</x:v>
      </x:c>
      <x:c r="K45" s="208" t="n">
        <x:f>ROUND(('14 Part 1 Build'!K31+K20)/'14 Part 1 Build'!K32,0)</x:f>
        <x:v>11</x:v>
      </x:c>
      <x:c r="L45" s="208" t="n">
        <x:f>ROUND(('14 Part 1 Build'!L31+L20)/'14 Part 1 Build'!L32,0)</x:f>
        <x:v>26</x:v>
      </x:c>
      <x:c r="M45" s="208" t="n">
        <x:f>ROUND(('14 Part 1 Build'!M31+M20)/'14 Part 1 Build'!M32,0)</x:f>
        <x:v>32</x:v>
      </x:c>
      <x:c r="N45" s="208" t="n">
        <x:f>ROUND(('14 Part 1 Build'!N31+N20)/'14 Part 1 Build'!N32,0)</x:f>
        <x:v>20</x:v>
      </x:c>
      <x:c r="O45" s="208" t="n">
        <x:f>ROUND(('14 Part 1 Build'!O31+O20)/'14 Part 1 Build'!O32,0)</x:f>
        <x:v>17</x:v>
      </x:c>
      <x:c r="P45" s="208" t="n">
        <x:f>SUM(D45:O45)</x:f>
        <x:v>200</x:v>
      </x:c>
    </x:row>
    <x:row r="46">
      <x:c r="B46" s="176" t="str">
        <x:v>Contribution margin</x:v>
      </x:c>
      <x:c r="C46" s="176" t="str">
        <x:v>Contribution divided by revenue</x:v>
      </x:c>
      <x:c r="D46" s="204" t="n">
        <x:f>IF(D39=0,"",D42/D39)</x:f>
        <x:v>0.6</x:v>
      </x:c>
      <x:c r="E46" s="204" t="n">
        <x:f>IF(E39=0,"",E42/E39)</x:f>
        <x:v>0.59</x:v>
      </x:c>
      <x:c r="F46" s="204" t="n">
        <x:f>IF(F39=0,"",F42/F39)</x:f>
        <x:v>0.61</x:v>
      </x:c>
      <x:c r="G46" s="204" t="n">
        <x:f>IF(G39=0,"",G42/G39)</x:f>
        <x:v>0.58</x:v>
      </x:c>
      <x:c r="H46" s="204" t="n">
        <x:f>IF(H39=0,"",H42/H39)</x:f>
        <x:v>0.6521545433700651</x:v>
      </x:c>
      <x:c r="I46" s="204" t="n">
        <x:f>IF(I39=0,"",I42/I39)</x:f>
        <x:v>0.661941871750148</x:v>
      </x:c>
      <x:c r="J46" s="204" t="n">
        <x:f>IF(J39=0,"",J42/J39)</x:f>
        <x:v>0.6240964740965191</x:v>
      </x:c>
      <x:c r="K46" s="204" t="n">
        <x:f>IF(K39=0,"",K42/K39)</x:f>
        <x:v>0.6346664401894107</x:v>
      </x:c>
      <x:c r="L46" s="204" t="n">
        <x:f>IF(L39=0,"",L42/L39)</x:f>
        <x:v>0.6646581419289386</x:v>
      </x:c>
      <x:c r="M46" s="204" t="n">
        <x:f>IF(M39=0,"",M42/M39)</x:f>
        <x:v>0.6530866334870202</x:v>
      </x:c>
      <x:c r="N46" s="204" t="n">
        <x:f>IF(N39=0,"",N42/N39)</x:f>
        <x:v>0.6456839127693701</x:v>
      </x:c>
      <x:c r="O46" s="204" t="n">
        <x:f>IF(O39=0,"",O42/O39)</x:f>
        <x:v>0.6529205142679806</x:v>
      </x:c>
      <x:c r="P46" s="204" t="n">
        <x:f>IF(P39=0,"",P42/P39)</x:f>
        <x:v>0.63374730567192</x:v>
      </x:c>
    </x:row>
    <x:row r="47">
      <x:c r="B47" s="178" t="str">
        <x:v>Operating margin</x:v>
      </x:c>
      <x:c r="C47" s="178" t="str">
        <x:v>Operating profit divided by revenue</x:v>
      </x:c>
      <x:c r="D47" s="207" t="n">
        <x:f>IF(D39=0,"",D43/D39)</x:f>
        <x:v>0.02911785799665304</x:v>
      </x:c>
      <x:c r="E47" s="207" t="n">
        <x:f>IF(E39=0,"",E43/E39)</x:f>
        <x:v>0.10732673267326732</x:v>
      </x:c>
      <x:c r="F47" s="207" t="n">
        <x:f>IF(F39=0,"",F43/F39)</x:f>
        <x:v>-0.25453201970443345</x:v>
      </x:c>
      <x:c r="G47" s="207" t="n">
        <x:f>IF(G39=0,"",G43/G39)</x:f>
        <x:v>0.010634469696969724</x:v>
      </x:c>
      <x:c r="H47" s="207" t="n">
        <x:f>IF(H39=0,"",H43/H39)</x:f>
        <x:v>-0.03465242653262784</x:v>
      </x:c>
      <x:c r="I47" s="207" t="n">
        <x:f>IF(I39=0,"",I43/I39)</x:f>
        <x:v>-0.26957409220253264</x:v>
      </x:c>
      <x:c r="J47" s="207" t="n">
        <x:f>IF(J39=0,"",J43/J39)</x:f>
        <x:v>-0.8190602587953132</x:v>
      </x:c>
      <x:c r="K47" s="207" t="n">
        <x:f>IF(K39=0,"",K43/K39)</x:f>
        <x:v>0.11418582491786697</x:v>
      </x:c>
      <x:c r="L47" s="207" t="n">
        <x:f>IF(L39=0,"",L43/L39)</x:f>
        <x:v>0.3110422319249208</x:v>
      </x:c>
      <x:c r="M47" s="207" t="n">
        <x:f>IF(M39=0,"",M43/M39)</x:f>
        <x:v>0.3371257787681129</x:v>
      </x:c>
      <x:c r="N47" s="207" t="n">
        <x:f>IF(N39=0,"",N43/N39)</x:f>
        <x:v>0.16465074921959563</x:v>
      </x:c>
      <x:c r="O47" s="207" t="n">
        <x:f>IF(O39=0,"",O43/O39)</x:f>
        <x:v>0.0834421116599936</x:v>
      </x:c>
      <x:c r="P47" s="207" t="n">
        <x:f>IF(P39=0,"",P43/P39)</x:f>
        <x:v>0.08682475476285025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31" hidden="0" customWidth="1"/>
    <x:col min="3" max="3" width="41" hidden="0" customWidth="1"/>
    <x:col min="4" max="4" width="1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2">
      <x:c r="B2" s="164" t="str">
        <x:v>Model Checks</x:v>
      </x:c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4"/>
      <x:c r="O2" s="164"/>
      <x:c r="P2" s="164"/>
    </x:row>
    <x:row r="3">
      <x:c r="B3" s="17" t="str">
        <x:v>Terminal checks only. These formulas do not feed the budgets.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>
      <x:c r="B5" s="168" t="str">
        <x:v>Check</x:v>
      </x:c>
      <x:c r="C5" s="168" t="str">
        <x:v>Control</x:v>
      </x:c>
      <x:c r="D5" s="168" t="str">
        <x:v>Difference or result</x:v>
      </x:c>
      <x:c r="E5" s="168" t="str">
        <x:v>Status</x:v>
      </x:c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B6" s="21" t="str">
        <x:v>Part 1 revenue ties</x:v>
      </x:c>
      <x:c r="C6" s="21" t="str">
        <x:v>10 Corrected Budget vs 14 Part 1 Build</x:v>
      </x:c>
      <x:c r="D6" s="245" t="n">
        <x:f>'10 Corrected Budget'!P7-'14 Part 1 Build'!P29</x:f>
        <x:v>0</x:v>
      </x:c>
      <x:c r="E6" s="238" t="str">
        <x:f>IF(ABS(D6)&lt;0.01,"OK","CHECK")</x:f>
        <x:v>OK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>
      <x:c r="B7" s="21" t="str">
        <x:v>Part 1 direct costs tie</x:v>
      </x:c>
      <x:c r="C7" s="21" t="str">
        <x:v>10 Corrected Budget vs 14 Part 1 Build</x:v>
      </x:c>
      <x:c r="D7" s="245" t="n">
        <x:f>'10 Corrected Budget'!P8-'14 Part 1 Build'!P41</x:f>
        <x:v>0</x:v>
      </x:c>
      <x:c r="E7" s="238" t="str">
        <x:f>IF(ABS(D7)&lt;0.01,"OK","CHECK")</x:f>
        <x:v>OK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B8" s="21" t="str">
        <x:v>Part 1 operating expenses tie</x:v>
      </x:c>
      <x:c r="C8" s="21" t="str">
        <x:v>10 Corrected Budget vs 14 Part 1 Build</x:v>
      </x:c>
      <x:c r="D8" s="245" t="n">
        <x:f>'10 Corrected Budget'!P11-'14 Part 1 Build'!P57</x:f>
        <x:v>0</x:v>
      </x:c>
      <x:c r="E8" s="238" t="str">
        <x:f>IF(ABS(D8)&lt;0.01,"OK","CHECK")</x:f>
        <x:v>OK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>
      <x:c r="B9" s="21" t="str">
        <x:v>Part 1 profit ties</x:v>
      </x:c>
      <x:c r="C9" s="21" t="str">
        <x:v>10 Corrected Budget vs 14 Part 1 Build</x:v>
      </x:c>
      <x:c r="D9" s="245" t="n">
        <x:f>'10 Corrected Budget'!P12-'14 Part 1 Build'!P60</x:f>
        <x:v>0</x:v>
      </x:c>
      <x:c r="E9" s="238" t="str">
        <x:f>IF(ABS(D9)&lt;0.01,"OK","CHECK")</x:f>
        <x:v>OK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>
      <x:c r="B10" s="21" t="str">
        <x:v>Part 2 revenue ties</x:v>
      </x:c>
      <x:c r="C10" s="21" t="str">
        <x:v>12 Management Budget vs 15 Part 2 Build</x:v>
      </x:c>
      <x:c r="D10" s="245" t="n">
        <x:f>'12 Management Budget'!P7-'15 Part 2 Build'!P39</x:f>
        <x:v>0</x:v>
      </x:c>
      <x:c r="E10" s="238" t="str">
        <x:f>IF(ABS(D10)&lt;0.01,"OK","CHECK")</x:f>
        <x:v>OK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>
      <x:c r="B11" s="21" t="str">
        <x:v>Part 2 direct costs tie</x:v>
      </x:c>
      <x:c r="C11" s="21" t="str">
        <x:v>12 Management Budget vs 15 Part 2 Build</x:v>
      </x:c>
      <x:c r="D11" s="245" t="n">
        <x:f>'12 Management Budget'!P8-'15 Part 2 Build'!P40</x:f>
        <x:v>0</x:v>
      </x:c>
      <x:c r="E11" s="238" t="str">
        <x:f>IF(ABS(D11)&lt;0.01,"OK","CHECK")</x:f>
        <x:v>OK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>
      <x:c r="B12" s="21" t="str">
        <x:v>Part 2 operating expenses tie</x:v>
      </x:c>
      <x:c r="C12" s="21" t="str">
        <x:v>12 Management Budget vs 15 Part 2 Build</x:v>
      </x:c>
      <x:c r="D12" s="245" t="n">
        <x:f>'12 Management Budget'!P11-'15 Part 2 Build'!P41</x:f>
        <x:v>0</x:v>
      </x:c>
      <x:c r="E12" s="238" t="str">
        <x:f>IF(ABS(D12)&lt;0.01,"OK","CHECK")</x:f>
        <x:v>OK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>
      <x:c r="B13" s="21" t="str">
        <x:v>Part 2 profit ties</x:v>
      </x:c>
      <x:c r="C13" s="21" t="str">
        <x:v>12 Management Budget vs 15 Part 2 Build</x:v>
      </x:c>
      <x:c r="D13" s="245" t="n">
        <x:f>'12 Management Budget'!P12-'15 Part 2 Build'!P43</x:f>
        <x:v>0</x:v>
      </x:c>
      <x:c r="E13" s="238" t="str">
        <x:f>IF(ABS(D13)&lt;0.01,"OK","CHECK")</x:f>
        <x:v>OK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>
      <x:c r="B14" s="21" t="str">
        <x:v>Comparison original revenue ties</x:v>
      </x:c>
      <x:c r="C14" s="21" t="str">
        <x:v>13 Monthly Comparison vs 08 Draft P&amp;L</x:v>
      </x:c>
      <x:c r="D14" s="245" t="n">
        <x:f>'13 Monthly Comparison'!P7-'08 Draft P&amp;L'!P7</x:f>
        <x:v>0</x:v>
      </x:c>
      <x:c r="E14" s="238" t="str">
        <x:f>IF(ABS(D14)&lt;0.01,"OK","CHECK")</x:f>
        <x:v>OK</x:v>
      </x:c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>
      <x:c r="B15" s="21" t="str">
        <x:v>Comparison original profit ties</x:v>
      </x:c>
      <x:c r="C15" s="21" t="str">
        <x:v>13 Monthly Comparison vs 08 Draft P&amp;L</x:v>
      </x:c>
      <x:c r="D15" s="245" t="n">
        <x:f>'13 Monthly Comparison'!P23-'08 Draft P&amp;L'!P12</x:f>
        <x:v>0</x:v>
      </x:c>
      <x:c r="E15" s="238" t="str">
        <x:f>IF(ABS(D15)&lt;0.01,"OK","CHECK")</x:f>
        <x:v>OK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B16" s="21" t="str">
        <x:v>Part 2 revenue vs 2025</x:v>
      </x:c>
      <x:c r="C16" s="21" t="str">
        <x:v>12 Management Budget vs 01 Prior Year P&amp;L</x:v>
      </x:c>
      <x:c r="D16" s="245" t="n">
        <x:f>'12 Management Budget'!P7-'01 Prior Year P&amp;L'!P7</x:f>
        <x:v>1434.8744197612396</x:v>
      </x:c>
      <x:c r="E16" s="238" t="str">
        <x:f>IF(D16&gt;=0,"GROWTH","BELOW 2025")</x:f>
        <x:v>GROWTH</x:v>
      </x:c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B17" s="21" t="str">
        <x:v>Part 2 profit improvement</x:v>
      </x:c>
      <x:c r="C17" s="21" t="str">
        <x:v>12 Management Budget vs 10 Corrected Budget</x:v>
      </x:c>
      <x:c r="D17" s="245" t="n">
        <x:f>'12 Management Budget'!P12-'10 Corrected Budget'!P12</x:f>
        <x:v>72559.15855546194</x:v>
      </x:c>
      <x:c r="E17" s="238" t="str">
        <x:f>IF(D17&gt;0,"IMPROVED","CHECK")</x:f>
        <x:v>IMPROVED</x:v>
      </x:c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>
      <x:c r="B20" s="182" t="str">
        <x:v>Monthly delivery capacity</x:v>
      </x:c>
      <x:c r="C20" s="183"/>
      <x:c r="D20" s="183"/>
      <x:c r="E20" s="183"/>
      <x:c r="F20" s="183"/>
      <x:c r="G20" s="183"/>
      <x:c r="H20" s="183"/>
      <x:c r="I20" s="183"/>
      <x:c r="J20" s="183"/>
      <x:c r="K20" s="183"/>
      <x:c r="L20" s="183"/>
      <x:c r="M20" s="183"/>
      <x:c r="N20" s="183"/>
      <x:c r="O20" s="183"/>
      <x:c r="P20" s="184"/>
    </x:row>
    <x:row r="21" ht="24" customHeight="1">
      <x:c r="B21" s="170" t="str">
        <x:v>Metric</x:v>
      </x:c>
      <x:c r="C21" s="171" t="str">
        <x:v>Basis</x:v>
      </x:c>
      <x:c r="D21" s="171" t="str">
        <x:v>Jan</x:v>
      </x:c>
      <x:c r="E21" s="171" t="str">
        <x:v>Feb</x:v>
      </x:c>
      <x:c r="F21" s="171" t="str">
        <x:v>Mar</x:v>
      </x:c>
      <x:c r="G21" s="171" t="str">
        <x:v>Apr</x:v>
      </x:c>
      <x:c r="H21" s="171" t="str">
        <x:v>May</x:v>
      </x:c>
      <x:c r="I21" s="171" t="str">
        <x:v>Jun</x:v>
      </x:c>
      <x:c r="J21" s="171" t="str">
        <x:v>Jul</x:v>
      </x:c>
      <x:c r="K21" s="171" t="str">
        <x:v>Aug</x:v>
      </x:c>
      <x:c r="L21" s="171" t="str">
        <x:v>Sep</x:v>
      </x:c>
      <x:c r="M21" s="171" t="str">
        <x:v>Oct</x:v>
      </x:c>
      <x:c r="N21" s="171" t="str">
        <x:v>Nov</x:v>
      </x:c>
      <x:c r="O21" s="171" t="str">
        <x:v>Dec</x:v>
      </x:c>
      <x:c r="P21" s="172" t="str">
        <x:v>FY Total</x:v>
      </x:c>
    </x:row>
    <x:row r="22">
      <x:c r="B22" s="21" t="str">
        <x:v>Total trainer days</x:v>
      </x:c>
      <x:c r="C22" s="21" t="str">
        <x:v>15 Part 2 Build</x:v>
      </x:c>
      <x:c r="D22" s="249" t="n">
        <x:f>'15 Part 2 Build'!D44</x:f>
        <x:v>8.904210028382213</x:v>
      </x:c>
      <x:c r="E22" s="249" t="n">
        <x:f>'15 Part 2 Build'!E44</x:f>
        <x:v>10.319772942289498</x:v>
      </x:c>
      <x:c r="F22" s="249" t="n">
        <x:f>'15 Part 2 Build'!F44</x:f>
        <x:v>5.584309730005095</x:v>
      </x:c>
      <x:c r="G22" s="249" t="n">
        <x:f>'15 Part 2 Build'!G44</x:f>
        <x:v>8.299832617713413</x:v>
      </x:c>
      <x:c r="H22" s="249" t="n">
        <x:f>'15 Part 2 Build'!H44</x:f>
        <x:v>7.525260170293283</x:v>
      </x:c>
      <x:c r="I22" s="249" t="n">
        <x:f>'15 Part 2 Build'!I44</x:f>
        <x:v>5.438688505203406</x:v>
      </x:c>
      <x:c r="J22" s="249" t="n">
        <x:f>'15 Part 2 Build'!J44</x:f>
        <x:v>3.085714285714286</x:v>
      </x:c>
      <x:c r="K22" s="249" t="n">
        <x:f>'15 Part 2 Build'!K44</x:f>
        <x:v>8.948500962385411</x:v>
      </x:c>
      <x:c r="L22" s="249" t="n">
        <x:f>'15 Part 2 Build'!L44</x:f>
        <x:v>14.615861416500833</x:v>
      </x:c>
      <x:c r="M22" s="249" t="n">
        <x:f>'15 Part 2 Build'!M44</x:f>
        <x:v>16.681107885035726</x:v>
      </x:c>
      <x:c r="N22" s="249" t="n">
        <x:f>'15 Part 2 Build'!N44</x:f>
        <x:v>10.531966503466847</x:v>
      </x:c>
      <x:c r="O22" s="249" t="n">
        <x:f>'15 Part 2 Build'!O44</x:f>
        <x:v>8.357994323557238</x:v>
      </x:c>
      <x:c r="P22" s="249" t="n">
        <x:f>SUM(D22:O22)</x:f>
        <x:v>108.29321937054725</x:v>
      </x:c>
    </x:row>
    <x:row r="23">
      <x:c r="B23" s="21" t="str">
        <x:v>Internal trainer days</x:v>
      </x:c>
      <x:c r="C23" s="21" t="str">
        <x:v>50% target from May</x:v>
      </x:c>
      <x:c r="D23" s="249" t="n">
        <x:f>'15 Part 2 Build'!D34</x:f>
        <x:v>0</x:v>
      </x:c>
      <x:c r="E23" s="249" t="n">
        <x:f>'15 Part 2 Build'!E34</x:f>
        <x:v>0</x:v>
      </x:c>
      <x:c r="F23" s="249" t="n">
        <x:f>'15 Part 2 Build'!F34</x:f>
        <x:v>0</x:v>
      </x:c>
      <x:c r="G23" s="249" t="n">
        <x:f>'15 Part 2 Build'!G34</x:f>
        <x:v>0</x:v>
      </x:c>
      <x:c r="H23" s="249" t="n">
        <x:f>'15 Part 2 Build'!H34</x:f>
        <x:v>3.7626300851466414</x:v>
      </x:c>
      <x:c r="I23" s="249" t="n">
        <x:f>'15 Part 2 Build'!I34</x:f>
        <x:v>2.719344252601703</x:v>
      </x:c>
      <x:c r="J23" s="249" t="n">
        <x:f>'15 Part 2 Build'!J34</x:f>
        <x:v>1.542857142857143</x:v>
      </x:c>
      <x:c r="K23" s="249" t="n">
        <x:f>'15 Part 2 Build'!K34</x:f>
        <x:v>4.474250481192706</x:v>
      </x:c>
      <x:c r="L23" s="249" t="n">
        <x:f>'15 Part 2 Build'!L34</x:f>
        <x:v>7.307930708250416</x:v>
      </x:c>
      <x:c r="M23" s="249" t="n">
        <x:f>'15 Part 2 Build'!M34</x:f>
        <x:v>8.340553942517863</x:v>
      </x:c>
      <x:c r="N23" s="249" t="n">
        <x:f>'15 Part 2 Build'!N34</x:f>
        <x:v>5.265983251733424</x:v>
      </x:c>
      <x:c r="O23" s="249" t="n">
        <x:f>'15 Part 2 Build'!O34</x:f>
        <x:v>4.178997161778619</x:v>
      </x:c>
      <x:c r="P23" s="249" t="n">
        <x:f>SUM(D23:O23)</x:f>
        <x:v>37.59254702607851</x:v>
      </x:c>
    </x:row>
    <x:row r="24">
      <x:c r="B24" s="21" t="str">
        <x:v>Internal trainer capacity</x:v>
      </x:c>
      <x:c r="C24" s="21" t="str">
        <x:v>Operations plan</x:v>
      </x:c>
      <x:c r="D24" s="249" t="n">
        <x:f>'15 Part 2 Build'!D32</x:f>
        <x:v>12</x:v>
      </x:c>
      <x:c r="E24" s="249" t="n">
        <x:f>'15 Part 2 Build'!E32</x:f>
        <x:v>12</x:v>
      </x:c>
      <x:c r="F24" s="249" t="n">
        <x:f>'15 Part 2 Build'!F32</x:f>
        <x:v>12</x:v>
      </x:c>
      <x:c r="G24" s="249" t="n">
        <x:f>'15 Part 2 Build'!G32</x:f>
        <x:v>12</x:v>
      </x:c>
      <x:c r="H24" s="249" t="n">
        <x:f>'15 Part 2 Build'!H32</x:f>
        <x:v>12</x:v>
      </x:c>
      <x:c r="I24" s="249" t="n">
        <x:f>'15 Part 2 Build'!I32</x:f>
        <x:v>12</x:v>
      </x:c>
      <x:c r="J24" s="249" t="n">
        <x:f>'15 Part 2 Build'!J32</x:f>
        <x:v>6</x:v>
      </x:c>
      <x:c r="K24" s="249" t="n">
        <x:f>'15 Part 2 Build'!K32</x:f>
        <x:v>8</x:v>
      </x:c>
      <x:c r="L24" s="249" t="n">
        <x:f>'15 Part 2 Build'!L32</x:f>
        <x:v>14</x:v>
      </x:c>
      <x:c r="M24" s="249" t="n">
        <x:f>'15 Part 2 Build'!M32</x:f>
        <x:v>14</x:v>
      </x:c>
      <x:c r="N24" s="249" t="n">
        <x:f>'15 Part 2 Build'!N32</x:f>
        <x:v>12</x:v>
      </x:c>
      <x:c r="O24" s="249" t="n">
        <x:f>'15 Part 2 Build'!O32</x:f>
        <x:v>12</x:v>
      </x:c>
      <x:c r="P24" s="249" t="n">
        <x:f>SUM(D24:O24)</x:f>
        <x:v>138</x:v>
      </x:c>
    </x:row>
    <x:row r="25">
      <x:c r="B25" s="21" t="str">
        <x:v>Internal capacity headroom</x:v>
      </x:c>
      <x:c r="C25" s="21" t="str">
        <x:v>Capacity less internal days</x:v>
      </x:c>
      <x:c r="D25" s="249" t="n">
        <x:f>D24-D23</x:f>
        <x:v>12</x:v>
      </x:c>
      <x:c r="E25" s="249" t="n">
        <x:f>E24-E23</x:f>
        <x:v>12</x:v>
      </x:c>
      <x:c r="F25" s="249" t="n">
        <x:f>F24-F23</x:f>
        <x:v>12</x:v>
      </x:c>
      <x:c r="G25" s="249" t="n">
        <x:f>G24-G23</x:f>
        <x:v>12</x:v>
      </x:c>
      <x:c r="H25" s="249" t="n">
        <x:f>H24-H23</x:f>
        <x:v>8.237369914853359</x:v>
      </x:c>
      <x:c r="I25" s="249" t="n">
        <x:f>I24-I23</x:f>
        <x:v>9.280655747398297</x:v>
      </x:c>
      <x:c r="J25" s="249" t="n">
        <x:f>J24-J23</x:f>
        <x:v>4.457142857142857</x:v>
      </x:c>
      <x:c r="K25" s="249" t="n">
        <x:f>K24-K23</x:f>
        <x:v>3.5257495188072943</x:v>
      </x:c>
      <x:c r="L25" s="249" t="n">
        <x:f>L24-L23</x:f>
        <x:v>6.692069291749584</x:v>
      </x:c>
      <x:c r="M25" s="249" t="n">
        <x:f>M24-M23</x:f>
        <x:v>5.659446057482137</x:v>
      </x:c>
      <x:c r="N25" s="249" t="n">
        <x:f>N24-N23</x:f>
        <x:v>6.734016748266576</x:v>
      </x:c>
      <x:c r="O25" s="249" t="n">
        <x:f>O24-O23</x:f>
        <x:v>7.821002838221381</x:v>
      </x:c>
      <x:c r="P25" s="249" t="n">
        <x:f>SUM(D25:O25)</x:f>
        <x:v>100.4074529739215</x:v>
      </x:c>
    </x:row>
    <x:row r="26">
      <x:c r="B26" s="21" t="str">
        <x:v>Required open-program dates</x:v>
      </x:c>
      <x:c r="C26" s="21" t="str">
        <x:v>Open seats divided by 20 seats per event</x:v>
      </x:c>
      <x:c r="D26" s="250" t="n">
        <x:f>ROUNDUP('15 Part 2 Build'!D45/20,0)</x:f>
        <x:v>1</x:v>
      </x:c>
      <x:c r="E26" s="250" t="n">
        <x:f>ROUNDUP('15 Part 2 Build'!E45/20,0)</x:f>
        <x:v>1</x:v>
      </x:c>
      <x:c r="F26" s="250" t="n">
        <x:f>ROUNDUP('15 Part 2 Build'!F45/20,0)</x:f>
        <x:v>1</x:v>
      </x:c>
      <x:c r="G26" s="250" t="n">
        <x:f>ROUNDUP('15 Part 2 Build'!G45/20,0)</x:f>
        <x:v>1</x:v>
      </x:c>
      <x:c r="H26" s="250" t="n">
        <x:f>ROUNDUP('15 Part 2 Build'!H45/20,0)</x:f>
        <x:v>1</x:v>
      </x:c>
      <x:c r="I26" s="250" t="n">
        <x:f>ROUNDUP('15 Part 2 Build'!I45/20,0)</x:f>
        <x:v>1</x:v>
      </x:c>
      <x:c r="J26" s="250" t="n">
        <x:f>ROUNDUP('15 Part 2 Build'!J45/20,0)</x:f>
        <x:v>1</x:v>
      </x:c>
      <x:c r="K26" s="250" t="n">
        <x:f>ROUNDUP('15 Part 2 Build'!K45/20,0)</x:f>
        <x:v>1</x:v>
      </x:c>
      <x:c r="L26" s="250" t="n">
        <x:f>ROUNDUP('15 Part 2 Build'!L45/20,0)</x:f>
        <x:v>2</x:v>
      </x:c>
      <x:c r="M26" s="250" t="n">
        <x:f>ROUNDUP('15 Part 2 Build'!M45/20,0)</x:f>
        <x:v>2</x:v>
      </x:c>
      <x:c r="N26" s="250" t="n">
        <x:f>ROUNDUP('15 Part 2 Build'!N45/20,0)</x:f>
        <x:v>1</x:v>
      </x:c>
      <x:c r="O26" s="250" t="n">
        <x:f>ROUNDUP('15 Part 2 Build'!O45/20,0)</x:f>
        <x:v>1</x:v>
      </x:c>
      <x:c r="P26" s="250" t="n">
        <x:f>SUM(D26:O26)</x:f>
        <x:v>14</x:v>
      </x:c>
    </x:row>
  </x:sheetData>
  <x:conditionalFormatting sqref="E6:E17">
    <x:cfRule type="containsText" dxfId="0" priority="1" operator="containsText" text="CHECK"/>
  </x:conditionalFormatting>
  <x:pageMargins left="0.7" right="0.7" top="0.75" bottom="0.75" header="0.3" footer="0.3"/>
</x:worksheet>
</file>